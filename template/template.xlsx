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代收代辦" sheetId="1" state="visible" r:id="rId1"/>
    <sheet xmlns:r="http://schemas.openxmlformats.org/officeDocument/2006/relationships" name="預算內" sheetId="2" state="visible" r:id="rId2"/>
    <sheet xmlns:r="http://schemas.openxmlformats.org/officeDocument/2006/relationships" name="預算外選單資料來源" sheetId="3" state="visible" r:id="rId3"/>
    <sheet xmlns:r="http://schemas.openxmlformats.org/officeDocument/2006/relationships" name="預算內選單資料來源" sheetId="4" state="visible" r:id="rId4"/>
    <sheet xmlns:r="http://schemas.openxmlformats.org/officeDocument/2006/relationships" name="共同選單資料來源" sheetId="5" state="hidden" r:id="rId5"/>
  </sheets>
  <externalReferences>
    <externalReference xmlns:r="http://schemas.openxmlformats.org/officeDocument/2006/relationships" r:id="rId6"/>
  </externalReferences>
  <definedNames>
    <definedName name="一級科目" hidden="0" function="0" vbProcedure="0">預算外選單資料來源!$A$2:$A$8</definedName>
    <definedName name="交通及運輸設備" hidden="0" function="0" vbProcedure="0">預算內選單資料來源!$J$2</definedName>
    <definedName name="保固金" hidden="0" function="0" vbProcedure="0">預算外選單資料來源!$E:$E</definedName>
    <definedName name="其他" hidden="0" function="0" vbProcedure="0">預算內選單資料來源!$H$2</definedName>
    <definedName name="其他設備" hidden="0" function="0" vbProcedure="0">預算內選單資料來源!$K$2:$K$3</definedName>
    <definedName name="單位別" hidden="0" function="0" vbProcedure="0">共同選單資料來源!$A$2:$A$10</definedName>
    <definedName name="學務處" hidden="0" function="0" vbProcedure="0">共同選單資料來源!$A$1:$A$10</definedName>
    <definedName name="履約保證金" hidden="0" function="0" vbProcedure="0">預算外選單資料來源!$D:$D</definedName>
    <definedName name="應付代收款" hidden="0" function="0" vbProcedure="0">預算外選單資料來源!$B:$B</definedName>
    <definedName name="押標金" hidden="0" function="0" vbProcedure="0">預算外選單資料來源!$C:$C</definedName>
    <definedName name="暫收及待結轉帳項" hidden="0" function="0" vbProcedure="0">預算外選單資料來源!$F:$F</definedName>
    <definedName name="會費_捐助_補助_分攤_照護_救濟與交流活動費" hidden="0" function="0" vbProcedure="0">預算內選單資料來源!$G$2:$G$5</definedName>
    <definedName name="服務費用" hidden="0" function="0" vbProcedure="0">預算內選單資料來源!$C$2:$C$23</definedName>
    <definedName name="材料及用品費" hidden="0" function="0" vbProcedure="0">預算內選單資料來源!$D$2:$D$7</definedName>
    <definedName name="無形資產" hidden="0" function="0" vbProcedure="0">預算內選單資料來源!$L$2</definedName>
    <definedName name="營建及修建工程" hidden="0" function="0" vbProcedure="0">預算內選單資料來源!$I$2</definedName>
    <definedName name="用人費用" hidden="0" function="0" vbProcedure="0">預算內選單資料來源!$B$2:$B$15</definedName>
    <definedName name="租金_償債與利息" hidden="0" function="0" vbProcedure="0">預算內選單資料來源!$E$2</definedName>
    <definedName name="稅捐及規費6" hidden="0" function="0" vbProcedure="0">預算內選單資料來源!$F$2</definedName>
    <definedName name="總務處" hidden="0" function="0" vbProcedure="0">共同選單資料來源!$A$3:$A$10</definedName>
    <definedName name="預算科目" hidden="0" function="0" vbProcedure="0">預算內選單資料來源!$A$2:$A$12</definedName>
    <definedName name="_xlnm._FilterDatabase" localSheetId="0" hidden="1">'代收代辦'!$A$1:$R$5</definedName>
    <definedName name="_xlnm.Print_Area" localSheetId="0">'代收代辦'!$A$1:$R$35</definedName>
    <definedName name="Excel_BuiltIn__FilterDatabase" localSheetId="1" hidden="0" function="0" vbProcedure="0">預算內!$A$1:$Q$5</definedName>
    <definedName name="_xlnm.Print_Area" localSheetId="1">'預算內'!$A$1:$Q$35</definedName>
  </definedNames>
  <calcPr calcId="124519" fullCalcOnLoad="1" refMode="A1" iterate="0" iterateCount="100" iterateDelta="0.001"/>
</workbook>
</file>

<file path=xl/styles.xml><?xml version="1.0" encoding="utf-8"?>
<styleSheet xmlns="http://schemas.openxmlformats.org/spreadsheetml/2006/main">
  <numFmts count="5">
    <numFmt numFmtId="164" formatCode="_-* #,##0_-;\-* #,##0_-;_-* \-??_-;_-@_-"/>
    <numFmt numFmtId="165" formatCode="#,##0_ "/>
    <numFmt numFmtId="166" formatCode="_-* #,##0.00_-;\-* #,##0.00_-;_-* \-??_-;_-@_-"/>
    <numFmt numFmtId="167" formatCode="#,##0;[RED]\-#,##0"/>
    <numFmt numFmtId="168" formatCode="#,##0;[RED]#,##0"/>
  </numFmts>
  <fonts count="35">
    <font>
      <name val="新細明體"/>
      <charset val="136"/>
      <family val="1"/>
      <sz val="12"/>
    </font>
    <font>
      <name val="Arial"/>
      <charset val="136"/>
      <family val="0"/>
      <sz val="10"/>
    </font>
    <font>
      <name val="Arial"/>
      <charset val="136"/>
      <family val="0"/>
      <sz val="10"/>
    </font>
    <font>
      <name val="Arial"/>
      <charset val="136"/>
      <family val="0"/>
      <sz val="10"/>
    </font>
    <font>
      <name val="標楷體"/>
      <charset val="136"/>
      <family val="4"/>
      <b val="1"/>
      <sz val="20"/>
      <u val="single"/>
    </font>
    <font>
      <name val="標楷體"/>
      <charset val="136"/>
      <family val="4"/>
      <sz val="10"/>
    </font>
    <font>
      <name val="標楷體"/>
      <charset val="136"/>
      <family val="4"/>
      <sz val="12"/>
    </font>
    <font>
      <name val="Arial Unicode MS"/>
      <charset val="136"/>
      <family val="2"/>
      <sz val="12"/>
    </font>
    <font>
      <name val="標楷體"/>
      <charset val="136"/>
      <family val="4"/>
      <sz val="11"/>
    </font>
    <font>
      <name val="標楷體"/>
      <charset val="136"/>
      <family val="4"/>
      <sz val="13"/>
    </font>
    <font>
      <name val="王漢宗中明體繁"/>
      <charset val="136"/>
      <family val="1"/>
      <sz val="12"/>
    </font>
    <font>
      <name val="王漢宗中明體繁"/>
      <charset val="136"/>
      <family val="1"/>
      <color rgb="FFFF0000"/>
      <sz val="12"/>
    </font>
    <font>
      <name val="標楷體"/>
      <charset val="136"/>
      <family val="4"/>
      <sz val="9"/>
    </font>
    <font>
      <name val="Arial Unicode MS"/>
      <charset val="136"/>
      <family val="2"/>
      <b val="1"/>
      <sz val="16"/>
    </font>
    <font>
      <name val="新細明體"/>
      <charset val="136"/>
      <family val="1"/>
      <color rgb="FFC0C0C0"/>
      <sz val="12"/>
    </font>
    <font>
      <name val="新細明體"/>
      <charset val="136"/>
      <family val="1"/>
      <color rgb="FFC0C0C0"/>
      <sz val="18"/>
      <vertAlign val="superscript"/>
    </font>
    <font>
      <name val="標楷體"/>
      <charset val="136"/>
      <family val="4"/>
      <b val="1"/>
      <sz val="10"/>
    </font>
    <font>
      <name val="王漢宗中明體繁"/>
      <charset val="136"/>
      <family val="1"/>
      <sz val="11"/>
    </font>
    <font>
      <name val="標楷體"/>
      <charset val="136"/>
      <family val="4"/>
      <b val="1"/>
      <sz val="16"/>
    </font>
    <font>
      <name val="標楷體"/>
      <charset val="136"/>
      <family val="4"/>
      <b val="1"/>
      <sz val="12"/>
    </font>
    <font>
      <name val="文鼎中楷"/>
      <charset val="136"/>
      <family val="3"/>
      <color rgb="FF003366"/>
      <sz val="11"/>
    </font>
    <font>
      <name val="Arial Unicode MS"/>
      <charset val="136"/>
      <family val="2"/>
      <sz val="8"/>
    </font>
    <font>
      <name val="Arial Unicode MS"/>
      <charset val="136"/>
      <family val="2"/>
      <sz val="10"/>
    </font>
    <font>
      <name val="Arial Unicode MS"/>
      <charset val="136"/>
      <family val="2"/>
      <sz val="11"/>
    </font>
    <font>
      <name val="新細明體"/>
      <charset val="136"/>
      <family val="1"/>
      <sz val="11"/>
    </font>
    <font>
      <name val="標楷體"/>
      <charset val="136"/>
      <family val="4"/>
      <b val="1"/>
      <sz val="11"/>
    </font>
    <font>
      <name val="標楷體"/>
      <charset val="136"/>
      <family val="4"/>
      <b val="1"/>
      <sz val="14"/>
    </font>
    <font>
      <name val="標楷體"/>
      <charset val="136"/>
      <family val="4"/>
      <sz val="18"/>
    </font>
    <font>
      <name val="新細明體"/>
      <charset val="136"/>
      <family val="1"/>
      <color rgb="FF969696"/>
      <sz val="14"/>
    </font>
    <font>
      <name val="新細明體"/>
      <charset val="136"/>
      <family val="1"/>
      <sz val="8"/>
    </font>
    <font>
      <name val="Wingdings 2"/>
      <charset val="2"/>
      <family val="1"/>
      <sz val="12"/>
    </font>
    <font>
      <name val="Arial Unicode MS"/>
      <charset val="136"/>
      <family val="2"/>
      <sz val="18"/>
    </font>
    <font>
      <name val="標楷體"/>
      <charset val="136"/>
      <family val="4"/>
      <b val="1"/>
      <color rgb="FFFF0000"/>
      <sz val="12"/>
    </font>
    <font>
      <name val="標楷體"/>
      <charset val="136"/>
      <family val="4"/>
      <color rgb="FF333399"/>
      <sz val="11"/>
    </font>
    <font>
      <name val="標楷體"/>
      <charset val="136"/>
      <family val="4"/>
      <color rgb="FF333333"/>
      <sz val="11"/>
    </font>
  </fonts>
  <fills count="13">
    <fill>
      <patternFill/>
    </fill>
    <fill>
      <patternFill patternType="gray125"/>
    </fill>
    <fill>
      <patternFill patternType="solid">
        <fgColor rgb="FFCCFFCC"/>
        <bgColor rgb="FFCCFFFF"/>
      </patternFill>
    </fill>
    <fill>
      <patternFill patternType="solid">
        <fgColor rgb="FFFFCC99"/>
        <bgColor rgb="FFC0C0C0"/>
      </patternFill>
    </fill>
    <fill>
      <patternFill patternType="solid">
        <fgColor rgb="FFFFFF99"/>
        <bgColor rgb="FFFFFFCC"/>
      </patternFill>
    </fill>
    <fill>
      <patternFill patternType="solid">
        <fgColor rgb="FFCCCCFF"/>
        <bgColor rgb="FFC0C0C0"/>
      </patternFill>
    </fill>
    <fill>
      <patternFill patternType="solid">
        <fgColor rgb="FFFF99CC"/>
        <bgColor rgb="FFFF8080"/>
      </patternFill>
    </fill>
    <fill>
      <patternFill patternType="solid">
        <fgColor rgb="FFFFFF00"/>
        <bgColor rgb="FFFFFF00"/>
      </patternFill>
    </fill>
    <fill>
      <patternFill patternType="solid">
        <fgColor rgb="FFCC99FF"/>
        <bgColor rgb="FF9999FF"/>
      </patternFill>
    </fill>
    <fill>
      <patternFill patternType="solid">
        <fgColor rgb="FFFFCC00"/>
        <bgColor rgb="FFFFFF00"/>
      </patternFill>
    </fill>
    <fill>
      <patternFill patternType="solid">
        <fgColor rgb="FFFFFFCC"/>
        <bgColor rgb="FFFFFFFF"/>
      </patternFill>
    </fill>
    <fill>
      <patternFill patternType="solid">
        <fgColor rgb="FFCCFFFF"/>
        <bgColor rgb="FFCCFFFF"/>
      </patternFill>
    </fill>
    <fill>
      <patternFill patternType="solid">
        <fgColor rgb="FFFFFFFF"/>
        <bgColor rgb="FFFFFFCC"/>
      </patternFill>
    </fill>
  </fills>
  <borders count="24">
    <border>
      <left/>
      <right/>
      <top/>
      <bottom/>
      <diagonal/>
    </border>
    <border>
      <left/>
      <right/>
      <top/>
      <bottom style="thin"/>
      <diagonal/>
    </border>
    <border>
      <left style="thin"/>
      <right style="thin"/>
      <top style="thin"/>
      <bottom style="thin"/>
      <diagonal/>
    </border>
    <border>
      <left/>
      <right style="thin"/>
      <top style="thin"/>
      <bottom style="thin"/>
      <diagonal/>
    </border>
    <border>
      <left/>
      <right style="thin"/>
      <top style="thin"/>
      <bottom/>
      <diagonal/>
    </border>
    <border>
      <left/>
      <right style="thin"/>
      <top/>
      <bottom style="thin"/>
      <diagonal/>
    </border>
    <border>
      <left style="thin"/>
      <right style="thin"/>
      <top style="thin"/>
      <bottom/>
      <diagonal/>
    </border>
    <border>
      <left style="thin"/>
      <right/>
      <top style="thin"/>
      <bottom/>
      <diagonal/>
    </border>
    <border>
      <left/>
      <right/>
      <top style="thin"/>
      <bottom/>
      <diagonal/>
    </border>
    <border>
      <left style="thin"/>
      <right style="thin"/>
      <top style="thin"/>
      <bottom style="dotted"/>
      <diagonal/>
    </border>
    <border>
      <left/>
      <right/>
      <top/>
      <bottom style="dotted"/>
      <diagonal/>
    </border>
    <border>
      <left/>
      <right/>
      <top style="dotted"/>
      <bottom/>
      <diagonal/>
    </border>
    <border>
      <left style="thin"/>
      <right/>
      <top/>
      <bottom style="thin"/>
      <diagonal/>
    </border>
    <border>
      <left style="thin"/>
      <right style="thin"/>
      <top/>
      <bottom/>
      <diagonal/>
    </border>
    <border>
      <left style="thin"/>
      <right style="thin"/>
      <top/>
      <bottom style="dotted"/>
      <diagonal/>
    </border>
    <border>
      <left style="thin"/>
      <right style="thin"/>
      <top/>
      <bottom style="thin"/>
      <diagonal/>
    </border>
    <border>
      <left style="thin"/>
      <right/>
      <top style="thin"/>
      <bottom style="thin"/>
      <diagonal/>
    </border>
    <border>
      <left style="thick">
        <color rgb="FFFFFFFF"/>
      </left>
      <right style="thick">
        <color rgb="FFFFFFFF"/>
      </right>
      <top style="thick">
        <color rgb="FFFFFFFF"/>
      </top>
      <bottom style="thick">
        <color rgb="FFFFFFFF"/>
      </bottom>
      <diagonal/>
    </border>
    <border>
      <left style="thick">
        <color rgb="FFFFFFFF"/>
      </left>
      <right style="thick">
        <color rgb="FFFFFFFF"/>
      </right>
      <top/>
      <bottom style="thick">
        <color rgb="FFFFFFFF"/>
      </bottom>
      <diagonal/>
    </border>
    <border>
      <left/>
      <right/>
      <top style="thin"/>
      <bottom style="thin"/>
      <diagonal/>
    </border>
    <border>
      <left style="thin"/>
      <right/>
      <top/>
      <bottom/>
      <diagonal/>
    </border>
    <border>
      <left/>
      <right style="thin"/>
      <top/>
      <bottom/>
      <diagonal/>
    </border>
    <border>
      <left style="thin"/>
      <right/>
      <top/>
      <bottom style="dotted"/>
      <diagonal/>
    </border>
    <border>
      <left/>
      <right style="thin"/>
      <top/>
      <bottom style="dotted"/>
      <diagonal/>
    </border>
  </borders>
  <cellStyleXfs count="8">
    <xf numFmtId="0" fontId="0" fillId="0" borderId="0" applyAlignment="1">
      <alignment horizontal="general" vertical="center"/>
    </xf>
    <xf numFmtId="166" fontId="0" fillId="0" borderId="0" applyAlignment="1">
      <alignment horizontal="general" vertical="center"/>
    </xf>
    <xf numFmtId="41" fontId="3" fillId="0" borderId="0"/>
    <xf numFmtId="44" fontId="3" fillId="0" borderId="0"/>
    <xf numFmtId="42" fontId="3" fillId="0" borderId="0"/>
    <xf numFmtId="9" fontId="3" fillId="0" borderId="0"/>
    <xf numFmtId="0" fontId="0" fillId="0" borderId="0" applyAlignment="1">
      <alignment horizontal="general" vertical="center"/>
    </xf>
    <xf numFmtId="0" fontId="0" fillId="0" borderId="0" applyAlignment="1">
      <alignment horizontal="general" vertical="center"/>
    </xf>
  </cellStyleXfs>
  <cellXfs count="272">
    <xf numFmtId="0" fontId="0" fillId="0" borderId="0" applyAlignment="1" pivotButton="0" quotePrefix="0" xfId="0">
      <alignment horizontal="general" vertical="center"/>
    </xf>
    <xf numFmtId="0" fontId="4" fillId="0" borderId="0" applyAlignment="1" applyProtection="1" pivotButton="0" quotePrefix="0" xfId="0">
      <alignment horizontal="center" vertical="center" wrapText="1"/>
      <protection locked="0" hidden="0"/>
    </xf>
    <xf numFmtId="0" fontId="5" fillId="0" borderId="1" applyAlignment="1" applyProtection="1" pivotButton="0" quotePrefix="0" xfId="0">
      <alignment horizontal="general" vertical="center" wrapText="1"/>
      <protection locked="0" hidden="0"/>
    </xf>
    <xf numFmtId="0" fontId="6" fillId="0"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6" fillId="0" borderId="0" applyAlignment="1" applyProtection="1" pivotButton="0" quotePrefix="0" xfId="0">
      <alignment horizontal="general"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0">
      <alignment horizontal="general" vertical="center" wrapText="1"/>
      <protection locked="0" hidden="0"/>
    </xf>
    <xf numFmtId="0" fontId="8" fillId="0" borderId="2" applyAlignment="1" applyProtection="1" pivotButton="0" quotePrefix="0" xfId="0">
      <alignment horizontal="general" vertical="center" wrapText="1"/>
      <protection locked="0" hidden="0"/>
    </xf>
    <xf numFmtId="0" fontId="9" fillId="0" borderId="3" applyAlignment="1" applyProtection="1" pivotButton="0" quotePrefix="0" xfId="0">
      <alignment horizontal="center" vertical="center" wrapText="1"/>
      <protection locked="0" hidden="0"/>
    </xf>
    <xf numFmtId="0" fontId="9" fillId="0" borderId="2" applyAlignment="1" applyProtection="1" pivotButton="0" quotePrefix="0" xfId="0">
      <alignment horizontal="center" vertical="center" wrapText="1"/>
      <protection locked="0" hidden="0"/>
    </xf>
    <xf numFmtId="0" fontId="10" fillId="0" borderId="0" applyAlignment="1" pivotButton="0" quotePrefix="0" xfId="0">
      <alignment horizontal="center" vertical="center"/>
    </xf>
    <xf numFmtId="0" fontId="6" fillId="0" borderId="2" applyAlignment="1" applyProtection="1" pivotButton="0" quotePrefix="0" xfId="0">
      <alignment horizontal="center" vertical="center"/>
      <protection locked="0" hidden="0"/>
    </xf>
    <xf numFmtId="0" fontId="6" fillId="0" borderId="4" applyAlignment="1" applyProtection="1" pivotButton="0" quotePrefix="0" xfId="0">
      <alignment horizontal="left" vertical="center" wrapText="1"/>
      <protection locked="0" hidden="0"/>
    </xf>
    <xf numFmtId="0" fontId="5" fillId="0" borderId="3" applyAlignment="1" applyProtection="1" pivotButton="0" quotePrefix="0" xfId="0">
      <alignment horizontal="center" vertical="center"/>
      <protection locked="0" hidden="0"/>
    </xf>
    <xf numFmtId="0" fontId="5" fillId="0" borderId="3" applyAlignment="1" applyProtection="1" pivotButton="0" quotePrefix="0" xfId="0">
      <alignment horizontal="center" vertical="center" wrapText="1"/>
      <protection locked="0" hidden="0"/>
    </xf>
    <xf numFmtId="0" fontId="5" fillId="0" borderId="2" applyAlignment="1" applyProtection="1" pivotButton="0" quotePrefix="0" xfId="0">
      <alignment horizontal="center" vertical="center" wrapText="1"/>
      <protection locked="0" hidden="0"/>
    </xf>
    <xf numFmtId="0" fontId="6" fillId="0" borderId="2" applyAlignment="1" applyProtection="1" pivotButton="0" quotePrefix="0" xfId="0">
      <alignment horizontal="center" vertical="center"/>
      <protection locked="0" hidden="1"/>
    </xf>
    <xf numFmtId="0" fontId="10" fillId="0" borderId="0" applyAlignment="1" applyProtection="1" pivotButton="0" quotePrefix="0" xfId="0">
      <alignment horizontal="left" vertical="top" wrapText="1"/>
      <protection locked="0" hidden="0"/>
    </xf>
    <xf numFmtId="0" fontId="12" fillId="0" borderId="5" applyAlignment="1" applyProtection="1" pivotButton="0" quotePrefix="0" xfId="0">
      <alignment horizontal="left" vertical="center" wrapText="1" indent="1"/>
      <protection locked="0" hidden="0"/>
    </xf>
    <xf numFmtId="0" fontId="13" fillId="0" borderId="3" applyAlignment="1" applyProtection="1" pivotButton="0" quotePrefix="0" xfId="0">
      <alignment horizontal="center" vertical="center"/>
      <protection locked="0" hidden="1"/>
    </xf>
    <xf numFmtId="0" fontId="6" fillId="0" borderId="0" applyAlignment="1" applyProtection="1" pivotButton="0" quotePrefix="0" xfId="0">
      <alignment horizontal="left" vertical="center"/>
      <protection locked="0" hidden="1"/>
    </xf>
    <xf numFmtId="0" fontId="10" fillId="0" borderId="0" applyAlignment="1" applyProtection="1" pivotButton="0" quotePrefix="0" xfId="0">
      <alignment horizontal="general" vertical="top"/>
      <protection locked="0" hidden="0"/>
    </xf>
    <xf numFmtId="0" fontId="6" fillId="0" borderId="2" applyAlignment="1" pivotButton="0" quotePrefix="0" xfId="0">
      <alignment horizontal="center" vertical="center" wrapText="1"/>
    </xf>
    <xf numFmtId="0" fontId="6" fillId="0" borderId="6" applyAlignment="1" pivotButton="0" quotePrefix="0" xfId="0">
      <alignment horizontal="center" vertical="center" wrapText="1"/>
    </xf>
    <xf numFmtId="0" fontId="5" fillId="0" borderId="2" applyAlignment="1" pivotButton="0" quotePrefix="0" xfId="0">
      <alignment horizontal="center" vertical="center" wrapText="1"/>
    </xf>
    <xf numFmtId="0" fontId="6" fillId="0" borderId="2" applyAlignment="1" pivotButton="0" quotePrefix="0" xfId="0">
      <alignment horizontal="center" vertical="center" wrapText="1"/>
    </xf>
    <xf numFmtId="0" fontId="14" fillId="0" borderId="7" applyAlignment="1" pivotButton="0" quotePrefix="0" xfId="0">
      <alignment horizontal="left" vertical="top"/>
    </xf>
    <xf numFmtId="0" fontId="0" fillId="0" borderId="8" applyAlignment="1" pivotButton="0" quotePrefix="0" xfId="0">
      <alignment horizontal="center" vertical="center"/>
    </xf>
    <xf numFmtId="0" fontId="0" fillId="0" borderId="2" applyAlignment="1" pivotButton="0" quotePrefix="0" xfId="0">
      <alignment horizontal="center" vertical="center"/>
    </xf>
    <xf numFmtId="0" fontId="15" fillId="0" borderId="6" applyAlignment="1" pivotButton="0" quotePrefix="0" xfId="0">
      <alignment horizontal="left" vertical="top"/>
    </xf>
    <xf numFmtId="0" fontId="16" fillId="0" borderId="9" applyAlignment="1" applyProtection="1" pivotButton="0" quotePrefix="0" xfId="0">
      <alignment horizontal="center" vertical="center"/>
      <protection locked="0" hidden="1"/>
    </xf>
    <xf numFmtId="0" fontId="13" fillId="0" borderId="9" applyAlignment="1" applyProtection="1" pivotButton="0" quotePrefix="0" xfId="0">
      <alignment horizontal="center" vertical="center"/>
      <protection locked="0" hidden="1"/>
    </xf>
    <xf numFmtId="0" fontId="17" fillId="0" borderId="0" applyAlignment="1" applyProtection="1" pivotButton="0" quotePrefix="0" xfId="0">
      <alignment horizontal="general" vertical="top" wrapText="1"/>
      <protection locked="0" hidden="0"/>
    </xf>
    <xf numFmtId="0" fontId="0" fillId="0" borderId="10" applyAlignment="1" pivotButton="0" quotePrefix="0" xfId="0">
      <alignment horizontal="center" vertical="center"/>
    </xf>
    <xf numFmtId="0" fontId="0" fillId="0" borderId="11" applyAlignment="1" pivotButton="0" quotePrefix="0" xfId="0">
      <alignment horizontal="center" vertical="center"/>
    </xf>
    <xf numFmtId="0" fontId="18" fillId="0" borderId="6" applyAlignment="1" applyProtection="1" pivotButton="0" quotePrefix="0" xfId="0">
      <alignment horizontal="center" vertical="top" wrapText="1"/>
      <protection locked="0" hidden="0"/>
    </xf>
    <xf numFmtId="0" fontId="6" fillId="0" borderId="2" applyAlignment="1" pivotButton="0" quotePrefix="0" xfId="0">
      <alignment horizontal="left" vertical="top" wrapText="1"/>
    </xf>
    <xf numFmtId="0" fontId="19" fillId="0" borderId="12" applyAlignment="1" applyProtection="1" pivotButton="0" quotePrefix="0" xfId="0">
      <alignment horizontal="center" vertical="top" wrapText="1"/>
      <protection locked="0" hidden="0"/>
    </xf>
    <xf numFmtId="0" fontId="19" fillId="0" borderId="1" applyAlignment="1" applyProtection="1" pivotButton="0" quotePrefix="0" xfId="0">
      <alignment horizontal="center" vertical="top" wrapText="1"/>
      <protection locked="0" hidden="0"/>
    </xf>
    <xf numFmtId="0" fontId="19" fillId="0" borderId="1" applyAlignment="1" applyProtection="1" pivotButton="0" quotePrefix="0" xfId="0">
      <alignment horizontal="general" vertical="top"/>
      <protection locked="0" hidden="0"/>
    </xf>
    <xf numFmtId="164" fontId="8" fillId="0" borderId="1" applyAlignment="1" applyProtection="1" pivotButton="0" quotePrefix="0" xfId="15">
      <alignment horizontal="center" vertical="bottom"/>
      <protection locked="0" hidden="0"/>
    </xf>
    <xf numFmtId="164" fontId="20" fillId="0" borderId="0" applyAlignment="1" applyProtection="1" pivotButton="0" quotePrefix="0" xfId="15">
      <alignment horizontal="center" vertical="bottom" wrapText="1"/>
      <protection locked="0" hidden="0"/>
    </xf>
    <xf numFmtId="165" fontId="8" fillId="0" borderId="1" applyAlignment="1" applyProtection="1" pivotButton="0" quotePrefix="0" xfId="21">
      <alignment horizontal="center" vertical="bottom"/>
      <protection locked="0" hidden="0"/>
    </xf>
    <xf numFmtId="165" fontId="8" fillId="0" borderId="5" applyAlignment="1" applyProtection="1" pivotButton="0" quotePrefix="0" xfId="21">
      <alignment horizontal="center" vertical="bottom"/>
      <protection locked="0" hidden="0"/>
    </xf>
    <xf numFmtId="0" fontId="6" fillId="0" borderId="2" applyAlignment="1" applyProtection="1" pivotButton="0" quotePrefix="0" xfId="0">
      <alignment horizontal="center" vertical="center" wrapText="1"/>
      <protection locked="0" hidden="0"/>
    </xf>
    <xf numFmtId="0" fontId="5" fillId="0" borderId="2" applyAlignment="1" applyProtection="1" pivotButton="0" quotePrefix="0" xfId="0">
      <alignment horizontal="general" vertical="center" wrapText="1"/>
      <protection locked="0" hidden="1"/>
    </xf>
    <xf numFmtId="0" fontId="5" fillId="0" borderId="2" applyAlignment="1" applyProtection="1" pivotButton="0" quotePrefix="0" xfId="0">
      <alignment horizontal="right" vertical="center"/>
      <protection locked="0" hidden="1"/>
    </xf>
    <xf numFmtId="164" fontId="21" fillId="0" borderId="2" applyAlignment="1" applyProtection="1" pivotButton="0" quotePrefix="0" xfId="15">
      <alignment horizontal="center" vertical="center"/>
      <protection locked="0" hidden="0"/>
    </xf>
    <xf numFmtId="164" fontId="22" fillId="0" borderId="2" applyAlignment="1" applyProtection="1" pivotButton="0" quotePrefix="0" xfId="15">
      <alignment horizontal="center" vertical="center"/>
      <protection locked="0" hidden="1"/>
    </xf>
    <xf numFmtId="0" fontId="22" fillId="0" borderId="2" applyAlignment="1" applyProtection="1" pivotButton="0" quotePrefix="0" xfId="15">
      <alignment horizontal="center" vertical="center" wrapText="1"/>
      <protection locked="0" hidden="1"/>
    </xf>
    <xf numFmtId="166" fontId="22" fillId="0" borderId="2" applyAlignment="1" applyProtection="1" pivotButton="0" quotePrefix="0" xfId="15">
      <alignment horizontal="right" vertical="center"/>
      <protection locked="0" hidden="0"/>
    </xf>
    <xf numFmtId="0" fontId="8" fillId="0" borderId="2" applyAlignment="1" applyProtection="1" pivotButton="0" quotePrefix="0" xfId="0">
      <alignment horizontal="right" vertical="center"/>
      <protection locked="0" hidden="1"/>
    </xf>
    <xf numFmtId="166" fontId="23" fillId="0" borderId="2" applyAlignment="1" applyProtection="1" pivotButton="0" quotePrefix="0" xfId="15">
      <alignment horizontal="right" vertical="center"/>
      <protection locked="0" hidden="0"/>
    </xf>
    <xf numFmtId="0" fontId="6" fillId="0" borderId="0" applyAlignment="1" pivotButton="0" quotePrefix="0" xfId="0">
      <alignment horizontal="general" vertical="top"/>
    </xf>
    <xf numFmtId="0" fontId="6" fillId="0" borderId="6"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center"/>
      <protection locked="0" hidden="1"/>
    </xf>
    <xf numFmtId="0" fontId="6" fillId="0" borderId="6" applyAlignment="1" applyProtection="1" pivotButton="0" quotePrefix="0" xfId="0">
      <alignment horizontal="left" vertical="bottom" wrapText="1"/>
      <protection locked="0" hidden="0"/>
    </xf>
    <xf numFmtId="0" fontId="6" fillId="0" borderId="13" applyAlignment="1" applyProtection="1" pivotButton="0" quotePrefix="0" xfId="0">
      <alignment horizontal="right" vertical="center" wrapText="1"/>
      <protection locked="0" hidden="0"/>
    </xf>
    <xf numFmtId="0" fontId="8" fillId="0" borderId="2" applyAlignment="1" applyProtection="1" pivotButton="0" quotePrefix="0" xfId="0">
      <alignment horizontal="center" vertical="center"/>
      <protection locked="0" hidden="1"/>
    </xf>
    <xf numFmtId="0" fontId="6" fillId="0" borderId="13" applyAlignment="1" applyProtection="1" pivotButton="0" quotePrefix="0" xfId="0">
      <alignment horizontal="left" vertical="top" wrapText="1"/>
      <protection locked="0" hidden="0"/>
    </xf>
    <xf numFmtId="0" fontId="8" fillId="0" borderId="6" applyAlignment="1" applyProtection="1" pivotButton="0" quotePrefix="0" xfId="0">
      <alignment horizontal="left" vertical="center" wrapText="1"/>
      <protection locked="0" hidden="0"/>
    </xf>
    <xf numFmtId="0" fontId="8" fillId="0" borderId="13" applyAlignment="1" applyProtection="1" pivotButton="0" quotePrefix="0" xfId="0">
      <alignment horizontal="left" vertical="center" wrapText="1"/>
      <protection locked="0" hidden="0"/>
    </xf>
    <xf numFmtId="0" fontId="25" fillId="0" borderId="2" applyAlignment="1" applyProtection="1" pivotButton="0" quotePrefix="0" xfId="0">
      <alignment horizontal="center" vertical="center" wrapText="1"/>
      <protection locked="0" hidden="0"/>
    </xf>
    <xf numFmtId="164" fontId="23" fillId="0" borderId="2" applyAlignment="1" applyProtection="1" pivotButton="0" quotePrefix="0" xfId="15">
      <alignment horizontal="center" vertical="center"/>
      <protection locked="0" hidden="1"/>
    </xf>
    <xf numFmtId="0" fontId="8" fillId="0" borderId="12" applyAlignment="1" applyProtection="1" pivotButton="0" quotePrefix="0" xfId="0">
      <alignment horizontal="left" vertical="center" wrapText="1"/>
      <protection locked="0" hidden="0"/>
    </xf>
    <xf numFmtId="167" fontId="23" fillId="0" borderId="5" applyAlignment="1" applyProtection="1" pivotButton="0" quotePrefix="0" xfId="0">
      <alignment horizontal="center" vertical="top"/>
      <protection locked="0" hidden="0"/>
    </xf>
    <xf numFmtId="0" fontId="26" fillId="0" borderId="0" applyAlignment="1" applyProtection="1" pivotButton="0" quotePrefix="0" xfId="0">
      <alignment horizontal="center" vertical="center"/>
      <protection locked="0" hidden="0"/>
    </xf>
    <xf numFmtId="164" fontId="23" fillId="0" borderId="0" applyAlignment="1" applyProtection="1" pivotButton="0" quotePrefix="0" xfId="15">
      <alignment horizontal="center" vertical="center"/>
      <protection locked="0" hidden="1"/>
    </xf>
    <xf numFmtId="0" fontId="8" fillId="0" borderId="0" applyAlignment="1" applyProtection="1" pivotButton="0" quotePrefix="0" xfId="0">
      <alignment horizontal="left" vertical="center"/>
      <protection locked="0" hidden="0"/>
    </xf>
    <xf numFmtId="167" fontId="23" fillId="0" borderId="0" applyAlignment="1" applyProtection="1" pivotButton="0" quotePrefix="0" xfId="0">
      <alignment horizontal="center" vertical="top"/>
      <protection locked="0" hidden="0"/>
    </xf>
    <xf numFmtId="0" fontId="6" fillId="0" borderId="0" applyAlignment="1" pivotButton="0" quotePrefix="0" xfId="0">
      <alignment horizontal="left" vertical="top"/>
    </xf>
    <xf numFmtId="0" fontId="6" fillId="0" borderId="0" applyAlignment="1" applyProtection="1" pivotButton="0" quotePrefix="0" xfId="0">
      <alignment horizontal="general" vertical="center"/>
      <protection locked="0" hidden="0"/>
    </xf>
    <xf numFmtId="0" fontId="6" fillId="0" borderId="2" applyAlignment="1" applyProtection="1" pivotButton="0" quotePrefix="0" xfId="0">
      <alignment horizontal="left" vertical="center" wrapText="1"/>
      <protection locked="0" hidden="0"/>
    </xf>
    <xf numFmtId="0" fontId="7" fillId="0" borderId="1" applyAlignment="1" applyProtection="1" pivotButton="0" quotePrefix="0" xfId="0">
      <alignment horizontal="left" vertical="center"/>
      <protection locked="0" hidden="0"/>
    </xf>
    <xf numFmtId="0" fontId="5" fillId="0" borderId="4" applyAlignment="1" applyProtection="1" pivotButton="0" quotePrefix="0" xfId="0">
      <alignment horizontal="left" vertical="center" wrapText="1"/>
      <protection locked="0" hidden="0"/>
    </xf>
    <xf numFmtId="0" fontId="5" fillId="0" borderId="3" applyAlignment="1" applyProtection="1" pivotButton="0" quotePrefix="0" xfId="0">
      <alignment horizontal="right" vertical="center" wrapText="1"/>
      <protection locked="0" hidden="0"/>
    </xf>
    <xf numFmtId="0" fontId="27" fillId="0" borderId="2" applyAlignment="1" applyProtection="1" pivotButton="0" quotePrefix="0" xfId="0">
      <alignment horizontal="center" vertical="center"/>
      <protection locked="0" hidden="1"/>
    </xf>
    <xf numFmtId="0" fontId="8" fillId="0" borderId="5" applyAlignment="1" applyProtection="1" pivotButton="0" quotePrefix="0" xfId="0">
      <alignment horizontal="left" vertical="center" wrapText="1" indent="1"/>
      <protection locked="0" hidden="0"/>
    </xf>
    <xf numFmtId="0" fontId="6" fillId="0" borderId="2" applyAlignment="1" pivotButton="0" quotePrefix="0" xfId="0">
      <alignment horizontal="center" vertical="center"/>
    </xf>
    <xf numFmtId="0" fontId="6" fillId="0" borderId="2" applyAlignment="1" pivotButton="0" quotePrefix="0" xfId="0">
      <alignment horizontal="center" vertical="center"/>
    </xf>
    <xf numFmtId="0" fontId="28" fillId="0" borderId="2" applyAlignment="1" pivotButton="0" quotePrefix="0" xfId="0">
      <alignment horizontal="left" vertical="top"/>
    </xf>
    <xf numFmtId="0" fontId="29" fillId="0" borderId="2" applyAlignment="1" pivotButton="0" quotePrefix="0" xfId="0">
      <alignment horizontal="left" vertical="top"/>
    </xf>
    <xf numFmtId="0" fontId="28" fillId="0" borderId="14" applyAlignment="1" pivotButton="0" quotePrefix="0" xfId="0">
      <alignment horizontal="left" vertical="top"/>
    </xf>
    <xf numFmtId="0" fontId="0" fillId="0" borderId="0" applyAlignment="1" pivotButton="0" quotePrefix="0" xfId="0">
      <alignment horizontal="center" vertical="center"/>
    </xf>
    <xf numFmtId="0" fontId="0" fillId="0" borderId="2" applyAlignment="1" pivotButton="0" quotePrefix="0" xfId="0">
      <alignment horizontal="left" vertical="top" wrapText="1"/>
    </xf>
    <xf numFmtId="164" fontId="20" fillId="0" borderId="1" applyAlignment="1" applyProtection="1" pivotButton="0" quotePrefix="0" xfId="15">
      <alignment horizontal="center" vertical="bottom" wrapText="1"/>
      <protection locked="0" hidden="0"/>
    </xf>
    <xf numFmtId="0" fontId="6" fillId="0" borderId="15" applyAlignment="1" applyProtection="1" pivotButton="0" quotePrefix="0" xfId="0">
      <alignment horizontal="center" vertical="center" wrapText="1"/>
      <protection locked="0" hidden="0"/>
    </xf>
    <xf numFmtId="0" fontId="6" fillId="0" borderId="2" applyAlignment="1" applyProtection="1" pivotButton="0" quotePrefix="0" xfId="0">
      <alignment horizontal="center" vertical="center" wrapText="1"/>
      <protection locked="0" hidden="1"/>
    </xf>
    <xf numFmtId="164" fontId="23" fillId="0" borderId="2" applyAlignment="1" applyProtection="1" pivotButton="0" quotePrefix="0" xfId="15">
      <alignment horizontal="right" vertical="center"/>
      <protection locked="0" hidden="1"/>
    </xf>
    <xf numFmtId="0" fontId="31" fillId="0" borderId="2" applyAlignment="1" applyProtection="1" pivotButton="0" quotePrefix="0" xfId="15">
      <alignment horizontal="center" vertical="center" wrapText="1"/>
      <protection locked="0" hidden="1"/>
    </xf>
    <xf numFmtId="168" fontId="23" fillId="0" borderId="2" applyAlignment="1" applyProtection="1" pivotButton="0" quotePrefix="0" xfId="0">
      <alignment horizontal="right" vertical="center"/>
      <protection locked="0" hidden="0"/>
    </xf>
    <xf numFmtId="164" fontId="23" fillId="0" borderId="16" applyAlignment="1" applyProtection="1" pivotButton="0" quotePrefix="0" xfId="15">
      <alignment horizontal="center" vertical="center"/>
      <protection locked="0" hidden="1"/>
    </xf>
    <xf numFmtId="0" fontId="6" fillId="0" borderId="16" applyAlignment="1" applyProtection="1" pivotButton="0" quotePrefix="0" xfId="0">
      <alignment horizontal="center" vertical="center" wrapText="1"/>
      <protection locked="0" hidden="0"/>
    </xf>
    <xf numFmtId="0" fontId="6" fillId="0" borderId="16" applyAlignment="1" applyProtection="1" pivotButton="0" quotePrefix="0" xfId="0">
      <alignment horizontal="center" vertical="center"/>
      <protection locked="0" hidden="0"/>
    </xf>
    <xf numFmtId="0" fontId="0" fillId="2" borderId="0" applyAlignment="1" pivotButton="0" quotePrefix="0" xfId="0">
      <alignment horizontal="general" vertical="center"/>
    </xf>
    <xf numFmtId="0" fontId="0" fillId="3" borderId="0" applyAlignment="1" pivotButton="0" quotePrefix="0" xfId="0">
      <alignment horizontal="general" vertical="center"/>
    </xf>
    <xf numFmtId="0" fontId="0" fillId="4" borderId="0" applyAlignment="1" pivotButton="0" quotePrefix="0" xfId="0">
      <alignment horizontal="general" vertical="center"/>
    </xf>
    <xf numFmtId="0" fontId="0" fillId="5" borderId="0" applyAlignment="1" pivotButton="0" quotePrefix="0" xfId="0">
      <alignment horizontal="general" vertical="center"/>
    </xf>
    <xf numFmtId="0" fontId="0" fillId="6" borderId="0" applyAlignment="1" pivotButton="0" quotePrefix="0" xfId="0">
      <alignment horizontal="general" vertical="center"/>
    </xf>
    <xf numFmtId="0" fontId="0" fillId="2" borderId="0" applyAlignment="1" pivotButton="0" quotePrefix="0" xfId="0">
      <alignment horizontal="general" vertical="center"/>
    </xf>
    <xf numFmtId="0" fontId="32" fillId="0" borderId="0" applyAlignment="1" applyProtection="1" pivotButton="0" quotePrefix="0" xfId="20">
      <alignment horizontal="general" vertical="bottom"/>
      <protection locked="0" hidden="0"/>
    </xf>
    <xf numFmtId="0" fontId="0" fillId="7" borderId="0" applyAlignment="1" pivotButton="0" quotePrefix="0" xfId="0">
      <alignment horizontal="general" vertical="center"/>
    </xf>
    <xf numFmtId="0" fontId="6" fillId="0" borderId="0" applyAlignment="1" pivotButton="0" quotePrefix="0" xfId="20">
      <alignment horizontal="general" vertical="center"/>
    </xf>
    <xf numFmtId="0" fontId="6" fillId="0" borderId="0" applyAlignment="1" pivotButton="0" quotePrefix="0" xfId="20">
      <alignment horizontal="general" vertical="center" wrapText="1"/>
    </xf>
    <xf numFmtId="0" fontId="0" fillId="7" borderId="0" applyAlignment="1" pivotButton="0" quotePrefix="0" xfId="0">
      <alignment horizontal="general" vertical="center" wrapText="1"/>
    </xf>
    <xf numFmtId="0" fontId="0" fillId="0" borderId="0" applyAlignment="1" pivotButton="0" quotePrefix="0" xfId="0">
      <alignment horizontal="general" vertical="center"/>
    </xf>
    <xf numFmtId="0" fontId="0" fillId="5" borderId="0" applyAlignment="1" pivotButton="0" quotePrefix="0" xfId="0">
      <alignment horizontal="general" vertical="center"/>
    </xf>
    <xf numFmtId="0" fontId="0" fillId="8" borderId="0" applyAlignment="1" pivotButton="0" quotePrefix="0" xfId="0">
      <alignment horizontal="general" vertical="center"/>
    </xf>
    <xf numFmtId="0" fontId="0" fillId="9" borderId="0" applyAlignment="1" pivotButton="0" quotePrefix="0" xfId="0">
      <alignment horizontal="general" vertical="center"/>
    </xf>
    <xf numFmtId="0" fontId="0" fillId="10" borderId="0" applyAlignment="1" pivotButton="0" quotePrefix="0" xfId="0">
      <alignment horizontal="general" vertical="center"/>
    </xf>
    <xf numFmtId="0" fontId="0" fillId="11" borderId="0" applyAlignment="1" pivotButton="0" quotePrefix="0" xfId="0">
      <alignment horizontal="general" vertical="center"/>
    </xf>
    <xf numFmtId="0" fontId="0" fillId="4" borderId="0" applyAlignment="1" pivotButton="0" quotePrefix="0" xfId="0">
      <alignment horizontal="general" vertical="center"/>
    </xf>
    <xf numFmtId="0" fontId="0" fillId="12" borderId="0" applyAlignment="1" pivotButton="0" quotePrefix="0" xfId="0">
      <alignment horizontal="general" vertical="center"/>
    </xf>
    <xf numFmtId="0" fontId="0" fillId="0" borderId="0" applyAlignment="1" pivotButton="0" quotePrefix="0" xfId="20">
      <alignment horizontal="general" vertical="center" wrapText="1"/>
    </xf>
    <xf numFmtId="0" fontId="6" fillId="0" borderId="0" applyAlignment="1" pivotButton="0" quotePrefix="0" xfId="20">
      <alignment horizontal="general" vertical="center" wrapText="1"/>
    </xf>
    <xf numFmtId="0" fontId="6" fillId="0" borderId="0" applyAlignment="1" pivotButton="0" quotePrefix="0" xfId="20">
      <alignment horizontal="general" vertical="center" wrapText="1"/>
    </xf>
    <xf numFmtId="0" fontId="0" fillId="0" borderId="0" applyAlignment="1" pivotButton="0" quotePrefix="0" xfId="0">
      <alignment horizontal="general" vertical="center"/>
    </xf>
    <xf numFmtId="0" fontId="6" fillId="0" borderId="0" applyAlignment="1" pivotButton="0" quotePrefix="0" xfId="0">
      <alignment horizontal="general" vertical="center"/>
    </xf>
    <xf numFmtId="0" fontId="6" fillId="0" borderId="0" applyAlignment="1" pivotButton="0" quotePrefix="0" xfId="0">
      <alignment horizontal="general" vertical="center" wrapText="1"/>
    </xf>
    <xf numFmtId="0" fontId="33" fillId="12" borderId="17" applyAlignment="1" pivotButton="0" quotePrefix="0" xfId="0">
      <alignment horizontal="general" vertical="center" wrapText="1"/>
    </xf>
    <xf numFmtId="0" fontId="34" fillId="5" borderId="18" applyAlignment="1" pivotButton="0" quotePrefix="0" xfId="0">
      <alignment horizontal="general" vertical="center" wrapText="1"/>
    </xf>
    <xf numFmtId="0" fontId="33" fillId="12" borderId="18" applyAlignment="1" pivotButton="0" quotePrefix="0" xfId="0">
      <alignment horizontal="general" vertical="center" wrapText="1"/>
    </xf>
    <xf numFmtId="0" fontId="0" fillId="0" borderId="0" applyAlignment="1" pivotButton="0" quotePrefix="0" xfId="0">
      <alignment horizontal="general" vertical="center"/>
    </xf>
    <xf numFmtId="0" fontId="0" fillId="0" borderId="0" pivotButton="0" quotePrefix="0" xfId="0"/>
    <xf numFmtId="0" fontId="4" fillId="0" borderId="0" applyAlignment="1" applyProtection="1" pivotButton="0" quotePrefix="0" xfId="0">
      <alignment horizontal="center" vertical="center" wrapText="1"/>
      <protection locked="0" hidden="0"/>
    </xf>
    <xf numFmtId="0" fontId="0" fillId="0" borderId="0" applyProtection="1" pivotButton="0" quotePrefix="0" xfId="0">
      <protection locked="0" hidden="0"/>
    </xf>
    <xf numFmtId="0" fontId="5" fillId="0" borderId="1" applyAlignment="1" applyProtection="1" pivotButton="0" quotePrefix="0" xfId="0">
      <alignment horizontal="general" vertical="center" wrapText="1"/>
      <protection locked="0" hidden="0"/>
    </xf>
    <xf numFmtId="0" fontId="6" fillId="0" borderId="1" applyAlignment="1" applyProtection="1" pivotButton="0" quotePrefix="0" xfId="0">
      <alignment horizontal="left" vertical="center"/>
      <protection locked="0" hidden="0"/>
    </xf>
    <xf numFmtId="0" fontId="0" fillId="0" borderId="1" applyProtection="1" pivotButton="0" quotePrefix="0" xfId="0">
      <protection locked="0" hidden="0"/>
    </xf>
    <xf numFmtId="0" fontId="7" fillId="0" borderId="0" applyAlignment="1" applyProtection="1" pivotButton="0" quotePrefix="0" xfId="0">
      <alignment horizontal="left" vertical="center"/>
      <protection locked="0" hidden="0"/>
    </xf>
    <xf numFmtId="0" fontId="6" fillId="0" borderId="0" applyAlignment="1" applyProtection="1" pivotButton="0" quotePrefix="0" xfId="0">
      <alignment horizontal="general"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0">
      <alignment horizontal="general" vertical="center" wrapText="1"/>
      <protection locked="0" hidden="0"/>
    </xf>
    <xf numFmtId="0" fontId="8" fillId="0" borderId="2" applyAlignment="1" applyProtection="1" pivotButton="0" quotePrefix="0" xfId="0">
      <alignment horizontal="general" vertical="center" wrapText="1"/>
      <protection locked="0" hidden="0"/>
    </xf>
    <xf numFmtId="0" fontId="9" fillId="0" borderId="3" applyAlignment="1" applyProtection="1" pivotButton="0" quotePrefix="0" xfId="0">
      <alignment horizontal="center" vertical="center" wrapText="1"/>
      <protection locked="0" hidden="0"/>
    </xf>
    <xf numFmtId="0" fontId="0" fillId="0" borderId="19" applyProtection="1" pivotButton="0" quotePrefix="0" xfId="0">
      <protection locked="0" hidden="0"/>
    </xf>
    <xf numFmtId="0" fontId="0" fillId="0" borderId="3" applyProtection="1" pivotButton="0" quotePrefix="0" xfId="0">
      <protection locked="0" hidden="0"/>
    </xf>
    <xf numFmtId="0" fontId="9" fillId="0" borderId="2" applyAlignment="1" applyProtection="1" pivotButton="0" quotePrefix="0" xfId="0">
      <alignment horizontal="center" vertical="center" wrapText="1"/>
      <protection locked="0" hidden="0"/>
    </xf>
    <xf numFmtId="0" fontId="10" fillId="0" borderId="0" applyAlignment="1" pivotButton="0" quotePrefix="0" xfId="0">
      <alignment horizontal="center" vertical="center"/>
    </xf>
    <xf numFmtId="0" fontId="6" fillId="0" borderId="2" applyAlignment="1" applyProtection="1" pivotButton="0" quotePrefix="0" xfId="0">
      <alignment horizontal="center" vertical="center"/>
      <protection locked="0" hidden="0"/>
    </xf>
    <xf numFmtId="0" fontId="6" fillId="0" borderId="4"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0" fillId="0" borderId="4" applyProtection="1" pivotButton="0" quotePrefix="0" xfId="0">
      <protection locked="0" hidden="0"/>
    </xf>
    <xf numFmtId="0" fontId="5" fillId="0" borderId="3" applyAlignment="1" applyProtection="1" pivotButton="0" quotePrefix="0" xfId="0">
      <alignment horizontal="center" vertical="center"/>
      <protection locked="0" hidden="0"/>
    </xf>
    <xf numFmtId="0" fontId="5" fillId="0" borderId="3" applyAlignment="1" applyProtection="1" pivotButton="0" quotePrefix="0" xfId="0">
      <alignment horizontal="center" vertical="center" wrapText="1"/>
      <protection locked="0" hidden="0"/>
    </xf>
    <xf numFmtId="0" fontId="5" fillId="0" borderId="2" applyAlignment="1" applyProtection="1" pivotButton="0" quotePrefix="0" xfId="0">
      <alignment horizontal="center" vertical="center" wrapText="1"/>
      <protection locked="0" hidden="0"/>
    </xf>
    <xf numFmtId="0" fontId="6" fillId="0" borderId="2" applyAlignment="1" applyProtection="1" pivotButton="0" quotePrefix="0" xfId="0">
      <alignment horizontal="center" vertical="center"/>
      <protection locked="0" hidden="1"/>
    </xf>
    <xf numFmtId="0" fontId="0" fillId="0" borderId="8" applyProtection="1" pivotButton="0" quotePrefix="0" xfId="0">
      <protection locked="0" hidden="1"/>
    </xf>
    <xf numFmtId="0" fontId="0" fillId="0" borderId="4" applyProtection="1" pivotButton="0" quotePrefix="0" xfId="0">
      <protection locked="0" hidden="1"/>
    </xf>
    <xf numFmtId="0" fontId="10" fillId="0" borderId="0" applyAlignment="1" applyProtection="1" pivotButton="0" quotePrefix="0" xfId="0">
      <alignment horizontal="left" vertical="top" wrapText="1"/>
      <protection locked="0" hidden="0"/>
    </xf>
    <xf numFmtId="0" fontId="0" fillId="0" borderId="15" applyProtection="1" pivotButton="0" quotePrefix="0" xfId="0">
      <protection locked="0" hidden="0"/>
    </xf>
    <xf numFmtId="0" fontId="12" fillId="0" borderId="5" applyAlignment="1" applyProtection="1" pivotButton="0" quotePrefix="0" xfId="0">
      <alignment horizontal="left" vertical="center" wrapText="1" indent="1"/>
      <protection locked="0" hidden="0"/>
    </xf>
    <xf numFmtId="0" fontId="0" fillId="0" borderId="5" applyProtection="1" pivotButton="0" quotePrefix="0" xfId="0">
      <protection locked="0" hidden="0"/>
    </xf>
    <xf numFmtId="0" fontId="13" fillId="0" borderId="3" applyAlignment="1" applyProtection="1" pivotButton="0" quotePrefix="0" xfId="0">
      <alignment horizontal="center" vertical="center"/>
      <protection locked="0" hidden="1"/>
    </xf>
    <xf numFmtId="0" fontId="0" fillId="0" borderId="12" applyProtection="1" pivotButton="0" quotePrefix="0" xfId="0">
      <protection locked="0" hidden="1"/>
    </xf>
    <xf numFmtId="0" fontId="0" fillId="0" borderId="1" applyProtection="1" pivotButton="0" quotePrefix="0" xfId="0">
      <protection locked="0" hidden="1"/>
    </xf>
    <xf numFmtId="0" fontId="0" fillId="0" borderId="5" applyProtection="1" pivotButton="0" quotePrefix="0" xfId="0">
      <protection locked="0" hidden="1"/>
    </xf>
    <xf numFmtId="0" fontId="6" fillId="0" borderId="0" applyAlignment="1" applyProtection="1" pivotButton="0" quotePrefix="0" xfId="0">
      <alignment horizontal="left" vertical="center"/>
      <protection locked="0" hidden="1"/>
    </xf>
    <xf numFmtId="0" fontId="10" fillId="0" borderId="0" applyAlignment="1" applyProtection="1" pivotButton="0" quotePrefix="0" xfId="0">
      <alignment horizontal="general" vertical="top"/>
      <protection locked="0" hidden="0"/>
    </xf>
    <xf numFmtId="0" fontId="6" fillId="0" borderId="2" applyAlignment="1" pivotButton="0" quotePrefix="0" xfId="0">
      <alignment horizontal="center" vertical="center" wrapText="1"/>
    </xf>
    <xf numFmtId="0" fontId="0" fillId="0" borderId="19" pivotButton="0" quotePrefix="0" xfId="0"/>
    <xf numFmtId="0" fontId="0" fillId="0" borderId="3" pivotButton="0" quotePrefix="0" xfId="0"/>
    <xf numFmtId="0" fontId="6" fillId="0" borderId="6" applyAlignment="1" pivotButton="0" quotePrefix="0" xfId="0">
      <alignment horizontal="center" vertical="center" wrapText="1"/>
    </xf>
    <xf numFmtId="0" fontId="0" fillId="0" borderId="8" pivotButton="0" quotePrefix="0" xfId="0"/>
    <xf numFmtId="0" fontId="0" fillId="0" borderId="4" pivotButton="0" quotePrefix="0" xfId="0"/>
    <xf numFmtId="0" fontId="5" fillId="0" borderId="2" applyAlignment="1" pivotButton="0" quotePrefix="0" xfId="0">
      <alignment horizontal="center" vertical="center" wrapText="1"/>
    </xf>
    <xf numFmtId="0" fontId="14" fillId="0" borderId="7" applyAlignment="1" pivotButton="0" quotePrefix="0" xfId="0">
      <alignment horizontal="left" vertical="top"/>
    </xf>
    <xf numFmtId="0" fontId="0" fillId="0" borderId="8" applyAlignment="1" pivotButton="0" quotePrefix="0" xfId="0">
      <alignment horizontal="center" vertical="center"/>
    </xf>
    <xf numFmtId="0" fontId="0" fillId="0" borderId="2" applyAlignment="1" pivotButton="0" quotePrefix="0" xfId="0">
      <alignment horizontal="center" vertical="center"/>
    </xf>
    <xf numFmtId="0" fontId="15" fillId="0" borderId="6" applyAlignment="1" pivotButton="0" quotePrefix="0" xfId="0">
      <alignment horizontal="left" vertical="top"/>
    </xf>
    <xf numFmtId="0" fontId="16" fillId="0" borderId="9" applyAlignment="1" applyProtection="1" pivotButton="0" quotePrefix="0" xfId="0">
      <alignment horizontal="center" vertical="center"/>
      <protection locked="0" hidden="1"/>
    </xf>
    <xf numFmtId="0" fontId="13" fillId="0" borderId="9" applyAlignment="1" applyProtection="1" pivotButton="0" quotePrefix="0" xfId="0">
      <alignment horizontal="center" vertical="center"/>
      <protection locked="0" hidden="1"/>
    </xf>
    <xf numFmtId="0" fontId="17" fillId="0" borderId="0" applyAlignment="1" applyProtection="1" pivotButton="0" quotePrefix="0" xfId="0">
      <alignment horizontal="general" vertical="top" wrapText="1"/>
      <protection locked="0" hidden="0"/>
    </xf>
    <xf numFmtId="0" fontId="0" fillId="0" borderId="10" applyAlignment="1" pivotButton="0" quotePrefix="0" xfId="0">
      <alignment horizontal="center" vertical="center"/>
    </xf>
    <xf numFmtId="0" fontId="0" fillId="0" borderId="12" pivotButton="0" quotePrefix="0" xfId="0"/>
    <xf numFmtId="0" fontId="0" fillId="0" borderId="1" pivotButton="0" quotePrefix="0" xfId="0"/>
    <xf numFmtId="0" fontId="0" fillId="0" borderId="5" pivotButton="0" quotePrefix="0" xfId="0"/>
    <xf numFmtId="0" fontId="0" fillId="0" borderId="22" applyProtection="1" pivotButton="0" quotePrefix="0" xfId="0">
      <protection locked="0" hidden="1"/>
    </xf>
    <xf numFmtId="0" fontId="0" fillId="0" borderId="10" applyProtection="1" pivotButton="0" quotePrefix="0" xfId="0">
      <protection locked="0" hidden="1"/>
    </xf>
    <xf numFmtId="0" fontId="0" fillId="0" borderId="23" applyProtection="1" pivotButton="0" quotePrefix="0" xfId="0">
      <protection locked="0" hidden="1"/>
    </xf>
    <xf numFmtId="0" fontId="0" fillId="0" borderId="11" applyAlignment="1" pivotButton="0" quotePrefix="0" xfId="0">
      <alignment horizontal="center" vertical="center"/>
    </xf>
    <xf numFmtId="0" fontId="0" fillId="0" borderId="11" pivotButton="0" quotePrefix="0" xfId="0"/>
    <xf numFmtId="0" fontId="18" fillId="0" borderId="6" applyAlignment="1" applyProtection="1" pivotButton="0" quotePrefix="0" xfId="0">
      <alignment horizontal="center" vertical="top" wrapText="1"/>
      <protection locked="0" hidden="0"/>
    </xf>
    <xf numFmtId="0" fontId="6" fillId="0" borderId="2" applyAlignment="1" pivotButton="0" quotePrefix="0" xfId="0">
      <alignment horizontal="left" vertical="top" wrapText="1"/>
    </xf>
    <xf numFmtId="0" fontId="19" fillId="0" borderId="12" applyAlignment="1" applyProtection="1" pivotButton="0" quotePrefix="0" xfId="0">
      <alignment horizontal="center" vertical="top" wrapText="1"/>
      <protection locked="0" hidden="0"/>
    </xf>
    <xf numFmtId="0" fontId="19" fillId="0" borderId="1" applyAlignment="1" applyProtection="1" pivotButton="0" quotePrefix="0" xfId="0">
      <alignment horizontal="center" vertical="top" wrapText="1"/>
      <protection locked="0" hidden="0"/>
    </xf>
    <xf numFmtId="0" fontId="19" fillId="0" borderId="1" applyAlignment="1" applyProtection="1" pivotButton="0" quotePrefix="0" xfId="0">
      <alignment horizontal="general" vertical="top"/>
      <protection locked="0" hidden="0"/>
    </xf>
    <xf numFmtId="164" fontId="8" fillId="0" borderId="1" applyAlignment="1" applyProtection="1" pivotButton="0" quotePrefix="0" xfId="15">
      <alignment horizontal="center" vertical="bottom"/>
      <protection locked="0" hidden="0"/>
    </xf>
    <xf numFmtId="164" fontId="20" fillId="0" borderId="0" applyAlignment="1" applyProtection="1" pivotButton="0" quotePrefix="0" xfId="15">
      <alignment horizontal="center" vertical="bottom" wrapText="1"/>
      <protection locked="0" hidden="0"/>
    </xf>
    <xf numFmtId="165" fontId="8" fillId="0" borderId="1" applyAlignment="1" applyProtection="1" pivotButton="0" quotePrefix="0" xfId="21">
      <alignment horizontal="center" vertical="bottom"/>
      <protection locked="0" hidden="0"/>
    </xf>
    <xf numFmtId="165" fontId="8" fillId="0" borderId="5" applyAlignment="1" applyProtection="1" pivotButton="0" quotePrefix="0" xfId="21">
      <alignment horizontal="center" vertical="bottom"/>
      <protection locked="0" hidden="0"/>
    </xf>
    <xf numFmtId="0" fontId="0" fillId="0" borderId="20" pivotButton="0" quotePrefix="0" xfId="0"/>
    <xf numFmtId="0" fontId="0" fillId="0" borderId="21" pivotButton="0" quotePrefix="0" xfId="0"/>
    <xf numFmtId="0" fontId="6" fillId="0" borderId="2" applyAlignment="1" applyProtection="1" pivotButton="0" quotePrefix="0" xfId="0">
      <alignment horizontal="center" vertical="center" wrapText="1"/>
      <protection locked="0" hidden="0"/>
    </xf>
    <xf numFmtId="0" fontId="5" fillId="0" borderId="2" applyAlignment="1" applyProtection="1" pivotButton="0" quotePrefix="0" xfId="0">
      <alignment horizontal="general" vertical="center" wrapText="1"/>
      <protection locked="0" hidden="1"/>
    </xf>
    <xf numFmtId="0" fontId="5" fillId="0" borderId="2" applyAlignment="1" applyProtection="1" pivotButton="0" quotePrefix="0" xfId="0">
      <alignment horizontal="right" vertical="center"/>
      <protection locked="0" hidden="1"/>
    </xf>
    <xf numFmtId="164" fontId="21" fillId="0" borderId="2" applyAlignment="1" applyProtection="1" pivotButton="0" quotePrefix="0" xfId="15">
      <alignment horizontal="center" vertical="center"/>
      <protection locked="0" hidden="0"/>
    </xf>
    <xf numFmtId="164" fontId="22" fillId="0" borderId="2" applyAlignment="1" applyProtection="1" pivotButton="0" quotePrefix="0" xfId="15">
      <alignment horizontal="center" vertical="center"/>
      <protection locked="0" hidden="1"/>
    </xf>
    <xf numFmtId="0" fontId="22" fillId="0" borderId="2" applyAlignment="1" applyProtection="1" pivotButton="0" quotePrefix="0" xfId="15">
      <alignment horizontal="center" vertical="center" wrapText="1"/>
      <protection locked="0" hidden="1"/>
    </xf>
    <xf numFmtId="0" fontId="0" fillId="0" borderId="12" applyProtection="1" pivotButton="0" quotePrefix="0" xfId="0">
      <protection locked="0" hidden="0"/>
    </xf>
    <xf numFmtId="0" fontId="0" fillId="0" borderId="20" applyProtection="1" pivotButton="0" quotePrefix="0" xfId="0">
      <protection locked="0" hidden="1"/>
    </xf>
    <xf numFmtId="0" fontId="0" fillId="0" borderId="0" applyProtection="1" pivotButton="0" quotePrefix="0" xfId="0">
      <protection locked="0" hidden="1"/>
    </xf>
    <xf numFmtId="0" fontId="0" fillId="0" borderId="21" applyProtection="1" pivotButton="0" quotePrefix="0" xfId="0">
      <protection locked="0" hidden="1"/>
    </xf>
    <xf numFmtId="0" fontId="8" fillId="0" borderId="2" applyAlignment="1" applyProtection="1" pivotButton="0" quotePrefix="0" xfId="0">
      <alignment horizontal="right" vertical="center"/>
      <protection locked="0" hidden="1"/>
    </xf>
    <xf numFmtId="0" fontId="6" fillId="0" borderId="0" applyAlignment="1" pivotButton="0" quotePrefix="0" xfId="0">
      <alignment horizontal="general" vertical="top"/>
    </xf>
    <xf numFmtId="0" fontId="6" fillId="0" borderId="6"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center"/>
      <protection locked="0" hidden="1"/>
    </xf>
    <xf numFmtId="0" fontId="6" fillId="0" borderId="6" applyAlignment="1" applyProtection="1" pivotButton="0" quotePrefix="0" xfId="0">
      <alignment horizontal="left" vertical="bottom" wrapText="1"/>
      <protection locked="0" hidden="0"/>
    </xf>
    <xf numFmtId="0" fontId="6" fillId="0" borderId="13" applyAlignment="1" applyProtection="1" pivotButton="0" quotePrefix="0" xfId="0">
      <alignment horizontal="right" vertical="center" wrapText="1"/>
      <protection locked="0" hidden="0"/>
    </xf>
    <xf numFmtId="0" fontId="0" fillId="0" borderId="21" applyProtection="1" pivotButton="0" quotePrefix="0" xfId="0">
      <protection locked="0" hidden="0"/>
    </xf>
    <xf numFmtId="0" fontId="8" fillId="0" borderId="2" applyAlignment="1" applyProtection="1" pivotButton="0" quotePrefix="0" xfId="0">
      <alignment horizontal="center" vertical="center"/>
      <protection locked="0" hidden="1"/>
    </xf>
    <xf numFmtId="0" fontId="6" fillId="0" borderId="13" applyAlignment="1" applyProtection="1" pivotButton="0" quotePrefix="0" xfId="0">
      <alignment horizontal="left" vertical="top" wrapText="1"/>
      <protection locked="0" hidden="0"/>
    </xf>
    <xf numFmtId="0" fontId="0" fillId="0" borderId="20" applyProtection="1" pivotButton="0" quotePrefix="0" xfId="0">
      <protection locked="0" hidden="0"/>
    </xf>
    <xf numFmtId="0" fontId="8" fillId="0" borderId="6" applyAlignment="1" applyProtection="1" pivotButton="0" quotePrefix="0" xfId="0">
      <alignment horizontal="left" vertical="center" wrapText="1"/>
      <protection locked="0" hidden="0"/>
    </xf>
    <xf numFmtId="0" fontId="8" fillId="0" borderId="13" applyAlignment="1" applyProtection="1" pivotButton="0" quotePrefix="0" xfId="0">
      <alignment horizontal="left" vertical="center" wrapText="1"/>
      <protection locked="0" hidden="0"/>
    </xf>
    <xf numFmtId="0" fontId="25" fillId="0" borderId="2" applyAlignment="1" applyProtection="1" pivotButton="0" quotePrefix="0" xfId="0">
      <alignment horizontal="center" vertical="center" wrapText="1"/>
      <protection locked="0" hidden="0"/>
    </xf>
    <xf numFmtId="164" fontId="23" fillId="0" borderId="2" applyAlignment="1" applyProtection="1" pivotButton="0" quotePrefix="0" xfId="15">
      <alignment horizontal="center" vertical="center"/>
      <protection locked="0" hidden="1"/>
    </xf>
    <xf numFmtId="0" fontId="0" fillId="0" borderId="19" applyProtection="1" pivotButton="0" quotePrefix="0" xfId="0">
      <protection locked="0" hidden="1"/>
    </xf>
    <xf numFmtId="0" fontId="0" fillId="0" borderId="3" applyProtection="1" pivotButton="0" quotePrefix="0" xfId="0">
      <protection locked="0" hidden="1"/>
    </xf>
    <xf numFmtId="0" fontId="8" fillId="0" borderId="12" applyAlignment="1" applyProtection="1" pivotButton="0" quotePrefix="0" xfId="0">
      <alignment horizontal="left" vertical="center" wrapText="1"/>
      <protection locked="0" hidden="0"/>
    </xf>
    <xf numFmtId="167" fontId="23" fillId="0" borderId="5" applyAlignment="1" applyProtection="1" pivotButton="0" quotePrefix="0" xfId="0">
      <alignment horizontal="center" vertical="top"/>
      <protection locked="0" hidden="0"/>
    </xf>
    <xf numFmtId="0" fontId="26" fillId="0" borderId="0" applyAlignment="1" applyProtection="1" pivotButton="0" quotePrefix="0" xfId="0">
      <alignment horizontal="center" vertical="center"/>
      <protection locked="0" hidden="0"/>
    </xf>
    <xf numFmtId="164" fontId="23" fillId="0" borderId="0" applyAlignment="1" applyProtection="1" pivotButton="0" quotePrefix="0" xfId="15">
      <alignment horizontal="center" vertical="center"/>
      <protection locked="0" hidden="1"/>
    </xf>
    <xf numFmtId="0" fontId="8" fillId="0" borderId="0" applyAlignment="1" applyProtection="1" pivotButton="0" quotePrefix="0" xfId="0">
      <alignment horizontal="left" vertical="center"/>
      <protection locked="0" hidden="0"/>
    </xf>
    <xf numFmtId="167" fontId="23" fillId="0" borderId="0" applyAlignment="1" applyProtection="1" pivotButton="0" quotePrefix="0" xfId="0">
      <alignment horizontal="center" vertical="top"/>
      <protection locked="0" hidden="0"/>
    </xf>
    <xf numFmtId="0" fontId="6" fillId="0" borderId="0" applyAlignment="1" pivotButton="0" quotePrefix="0" xfId="0">
      <alignment horizontal="left" vertical="top"/>
    </xf>
    <xf numFmtId="0" fontId="6" fillId="0" borderId="2" applyAlignment="1" applyProtection="1" pivotButton="0" quotePrefix="0" xfId="0">
      <alignment horizontal="left" vertical="center" wrapText="1"/>
      <protection locked="0" hidden="0"/>
    </xf>
    <xf numFmtId="0" fontId="7" fillId="0" borderId="1" applyAlignment="1" applyProtection="1" pivotButton="0" quotePrefix="0" xfId="0">
      <alignment horizontal="left" vertical="center"/>
      <protection locked="0" hidden="0"/>
    </xf>
    <xf numFmtId="0" fontId="5" fillId="0" borderId="4" applyAlignment="1" applyProtection="1" pivotButton="0" quotePrefix="0" xfId="0">
      <alignment horizontal="left" vertical="center" wrapText="1"/>
      <protection locked="0" hidden="0"/>
    </xf>
    <xf numFmtId="0" fontId="5" fillId="0" borderId="3" applyAlignment="1" applyProtection="1" pivotButton="0" quotePrefix="0" xfId="0">
      <alignment horizontal="right" vertical="center" wrapText="1"/>
      <protection locked="0" hidden="0"/>
    </xf>
    <xf numFmtId="0" fontId="27" fillId="0" borderId="2" applyAlignment="1" applyProtection="1" pivotButton="0" quotePrefix="0" xfId="0">
      <alignment horizontal="center" vertical="center"/>
      <protection locked="0" hidden="1"/>
    </xf>
    <xf numFmtId="0" fontId="8" fillId="0" borderId="5" applyAlignment="1" applyProtection="1" pivotButton="0" quotePrefix="0" xfId="0">
      <alignment horizontal="left" vertical="center" wrapText="1" indent="1"/>
      <protection locked="0" hidden="0"/>
    </xf>
    <xf numFmtId="0" fontId="6" fillId="0" borderId="2" applyAlignment="1" pivotButton="0" quotePrefix="0" xfId="0">
      <alignment horizontal="center" vertical="center"/>
    </xf>
    <xf numFmtId="0" fontId="28" fillId="0" borderId="2" applyAlignment="1" pivotButton="0" quotePrefix="0" xfId="0">
      <alignment horizontal="left" vertical="top"/>
    </xf>
    <xf numFmtId="0" fontId="29" fillId="0" borderId="2" applyAlignment="1" pivotButton="0" quotePrefix="0" xfId="0">
      <alignment horizontal="left" vertical="top"/>
    </xf>
    <xf numFmtId="0" fontId="28" fillId="0" borderId="14" applyAlignment="1" pivotButton="0" quotePrefix="0" xfId="0">
      <alignment horizontal="left" vertical="top"/>
    </xf>
    <xf numFmtId="0" fontId="0" fillId="0" borderId="10" pivotButton="0" quotePrefix="0" xfId="0"/>
    <xf numFmtId="0" fontId="0" fillId="0" borderId="23" pivotButton="0" quotePrefix="0" xfId="0"/>
    <xf numFmtId="0" fontId="0" fillId="0" borderId="0" applyAlignment="1" pivotButton="0" quotePrefix="0" xfId="0">
      <alignment horizontal="center" vertical="center"/>
    </xf>
    <xf numFmtId="0" fontId="0" fillId="0" borderId="2" applyAlignment="1" pivotButton="0" quotePrefix="0" xfId="0">
      <alignment horizontal="left" vertical="top" wrapText="1"/>
    </xf>
    <xf numFmtId="164" fontId="20" fillId="0" borderId="1" applyAlignment="1" applyProtection="1" pivotButton="0" quotePrefix="0" xfId="15">
      <alignment horizontal="center" vertical="bottom" wrapText="1"/>
      <protection locked="0" hidden="0"/>
    </xf>
    <xf numFmtId="0" fontId="6" fillId="0" borderId="15" applyAlignment="1" applyProtection="1" pivotButton="0" quotePrefix="0" xfId="0">
      <alignment horizontal="center" vertical="center" wrapText="1"/>
      <protection locked="0" hidden="0"/>
    </xf>
    <xf numFmtId="0" fontId="6" fillId="0" borderId="2" applyAlignment="1" applyProtection="1" pivotButton="0" quotePrefix="0" xfId="0">
      <alignment horizontal="center" vertical="center" wrapText="1"/>
      <protection locked="0" hidden="1"/>
    </xf>
    <xf numFmtId="164" fontId="23" fillId="0" borderId="2" applyAlignment="1" applyProtection="1" pivotButton="0" quotePrefix="0" xfId="15">
      <alignment horizontal="right" vertical="center"/>
      <protection locked="0" hidden="1"/>
    </xf>
    <xf numFmtId="0" fontId="31" fillId="0" borderId="2" applyAlignment="1" applyProtection="1" pivotButton="0" quotePrefix="0" xfId="15">
      <alignment horizontal="center" vertical="center" wrapText="1"/>
      <protection locked="0" hidden="1"/>
    </xf>
    <xf numFmtId="164" fontId="23" fillId="0" borderId="2" applyAlignment="1" applyProtection="1" pivotButton="0" quotePrefix="0" xfId="15">
      <alignment horizontal="right" vertical="center"/>
      <protection locked="0" hidden="1"/>
    </xf>
    <xf numFmtId="168" fontId="23" fillId="0" borderId="2" applyAlignment="1" applyProtection="1" pivotButton="0" quotePrefix="0" xfId="0">
      <alignment horizontal="right" vertical="center"/>
      <protection locked="0" hidden="0"/>
    </xf>
    <xf numFmtId="164" fontId="23" fillId="0" borderId="16" applyAlignment="1" applyProtection="1" pivotButton="0" quotePrefix="0" xfId="15">
      <alignment horizontal="center" vertical="center"/>
      <protection locked="0" hidden="1"/>
    </xf>
    <xf numFmtId="0" fontId="6" fillId="0" borderId="16" applyAlignment="1" applyProtection="1" pivotButton="0" quotePrefix="0" xfId="0">
      <alignment horizontal="center" vertical="center" wrapText="1"/>
      <protection locked="0" hidden="0"/>
    </xf>
    <xf numFmtId="0" fontId="6" fillId="0" borderId="16" applyAlignment="1" applyProtection="1" pivotButton="0" quotePrefix="0" xfId="0">
      <alignment horizontal="center" vertical="center"/>
      <protection locked="0" hidden="0"/>
    </xf>
    <xf numFmtId="0" fontId="0" fillId="2" borderId="0" applyAlignment="1" pivotButton="0" quotePrefix="0" xfId="0">
      <alignment horizontal="general" vertical="center"/>
    </xf>
    <xf numFmtId="0" fontId="0" fillId="3" borderId="0" applyAlignment="1" pivotButton="0" quotePrefix="0" xfId="0">
      <alignment horizontal="general" vertical="center"/>
    </xf>
    <xf numFmtId="0" fontId="0" fillId="4" borderId="0" applyAlignment="1" pivotButton="0" quotePrefix="0" xfId="0">
      <alignment horizontal="general" vertical="center"/>
    </xf>
    <xf numFmtId="0" fontId="0" fillId="5" borderId="0" applyAlignment="1" pivotButton="0" quotePrefix="0" xfId="0">
      <alignment horizontal="general" vertical="center"/>
    </xf>
    <xf numFmtId="0" fontId="0" fillId="6" borderId="0" applyAlignment="1" pivotButton="0" quotePrefix="0" xfId="0">
      <alignment horizontal="general" vertical="center"/>
    </xf>
    <xf numFmtId="0" fontId="32" fillId="0" borderId="0" applyAlignment="1" applyProtection="1" pivotButton="0" quotePrefix="0" xfId="20">
      <alignment horizontal="general" vertical="bottom"/>
      <protection locked="0" hidden="0"/>
    </xf>
    <xf numFmtId="0" fontId="0" fillId="7" borderId="0" applyAlignment="1" pivotButton="0" quotePrefix="0" xfId="0">
      <alignment horizontal="general" vertical="center"/>
    </xf>
    <xf numFmtId="0" fontId="6" fillId="0" borderId="0" applyAlignment="1" pivotButton="0" quotePrefix="0" xfId="20">
      <alignment horizontal="general" vertical="center"/>
    </xf>
    <xf numFmtId="0" fontId="6" fillId="0" borderId="0" applyAlignment="1" pivotButton="0" quotePrefix="0" xfId="20">
      <alignment horizontal="general" vertical="center" wrapText="1"/>
    </xf>
    <xf numFmtId="0" fontId="0" fillId="7" borderId="0" applyAlignment="1" pivotButton="0" quotePrefix="0" xfId="0">
      <alignment horizontal="general" vertical="center" wrapText="1"/>
    </xf>
    <xf numFmtId="0" fontId="0" fillId="8" borderId="0" applyAlignment="1" pivotButton="0" quotePrefix="0" xfId="0">
      <alignment horizontal="general" vertical="center"/>
    </xf>
    <xf numFmtId="0" fontId="0" fillId="9" borderId="0" applyAlignment="1" pivotButton="0" quotePrefix="0" xfId="0">
      <alignment horizontal="general" vertical="center"/>
    </xf>
    <xf numFmtId="0" fontId="0" fillId="10" borderId="0" applyAlignment="1" pivotButton="0" quotePrefix="0" xfId="0">
      <alignment horizontal="general" vertical="center"/>
    </xf>
    <xf numFmtId="0" fontId="0" fillId="11" borderId="0" applyAlignment="1" pivotButton="0" quotePrefix="0" xfId="0">
      <alignment horizontal="general" vertical="center"/>
    </xf>
    <xf numFmtId="0" fontId="0" fillId="12" borderId="0" applyAlignment="1" pivotButton="0" quotePrefix="0" xfId="0">
      <alignment horizontal="general" vertical="center"/>
    </xf>
    <xf numFmtId="0" fontId="0" fillId="0" borderId="0" applyAlignment="1" pivotButton="0" quotePrefix="0" xfId="20">
      <alignment horizontal="general" vertical="center" wrapText="1"/>
    </xf>
    <xf numFmtId="0" fontId="6" fillId="0" borderId="0" applyAlignment="1" pivotButton="0" quotePrefix="0" xfId="0">
      <alignment horizontal="general" vertical="center"/>
    </xf>
    <xf numFmtId="0" fontId="6" fillId="0" borderId="0" applyAlignment="1" pivotButton="0" quotePrefix="0" xfId="0">
      <alignment horizontal="general" vertical="center" wrapText="1"/>
    </xf>
    <xf numFmtId="0" fontId="33" fillId="12" borderId="17" applyAlignment="1" pivotButton="0" quotePrefix="0" xfId="0">
      <alignment horizontal="general" vertical="center" wrapText="1"/>
    </xf>
    <xf numFmtId="0" fontId="34" fillId="5" borderId="18" applyAlignment="1" pivotButton="0" quotePrefix="0" xfId="0">
      <alignment horizontal="general" vertical="center" wrapText="1"/>
    </xf>
    <xf numFmtId="0" fontId="33" fillId="12" borderId="18" applyAlignment="1" pivotButton="0" quotePrefix="0" xfId="0">
      <alignment horizontal="general" vertical="center" wrapText="1"/>
    </xf>
  </cellXfs>
  <cellStyles count="8">
    <cellStyle name="Normal" xfId="0" builtinId="0"/>
    <cellStyle name="Comma" xfId="1" builtinId="3"/>
    <cellStyle name="Comma [0]" xfId="2" builtinId="6"/>
    <cellStyle name="Currency" xfId="3" builtinId="4"/>
    <cellStyle name="Currency [0]" xfId="4" builtinId="7"/>
    <cellStyle name="Percent" xfId="5" builtinId="5"/>
    <cellStyle name="一般 2" xfId="6"/>
    <cellStyle name="一般_薪水" xfId="7"/>
  </cellStyles>
  <dxfs count="1">
    <dxf>
      <fill>
        <patternFill patternType="solid">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styles" Target="styles.xml" Id="rId7"/><Relationship Type="http://schemas.openxmlformats.org/officeDocument/2006/relationships/theme" Target="theme/theme1.xml" Id="rId8"/></Relationships>
</file>

<file path=xl/externalLinks/_rels/externalLink1.xml.rels><Relationships xmlns="http://schemas.openxmlformats.org/package/2006/relationships"><Relationship Type="http://schemas.openxmlformats.org/officeDocument/2006/relationships/externalLinkPath" Target="file://10.36.180.2/&#34892;&#25919;&#32879;&#32363;/810&#26371;&#35336;&#23460;/&#30707;&#38272;&#21508;&#24335;&#34920;&#21934;/01&#26371;&#35336;&#23376;&#30446;(&#35531;&#20808;&#25171;&#38283;&#26412;&#34920;-&#20877;&#38283;&#21855;&#21205;&#25903;&#21934;).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預算外選單資料來源"/>
      <sheetName val="對照表"/>
      <sheetName val="預算內選單資料來源"/>
      <sheetName val="年度"/>
    </sheetNames>
    <sheetDataSet>
      <sheetData sheetId="0">
        <row r="1">
          <cell r="B1" t="str">
            <v>應付代收款</v>
          </cell>
          <cell r="C1" t="str">
            <v>押標金</v>
          </cell>
          <cell r="D1" t="str">
            <v>履約保證金</v>
          </cell>
          <cell r="E1" t="str">
            <v>保固金</v>
          </cell>
          <cell r="F1" t="str">
            <v>暫收及待結轉帳項</v>
          </cell>
        </row>
        <row r="2">
          <cell r="B2" t="str">
            <v>A00000薪資代扣款**********</v>
          </cell>
        </row>
        <row r="2">
          <cell r="D2" t="str">
            <v>T00000履約保證金**********</v>
          </cell>
          <cell r="E2" t="str">
            <v>U00000保固金**************</v>
          </cell>
          <cell r="F2" t="str">
            <v>Y00000暫收及待結轉帳項****</v>
          </cell>
        </row>
        <row r="3">
          <cell r="B3" t="str">
            <v>A00001公保費</v>
          </cell>
          <cell r="C3" t="str">
            <v>X00002	聖尚113年度排水系統水溝蓋整修工程</v>
          </cell>
          <cell r="D3" t="str">
            <v>T00001	專科教室暨幼兒園觸屏設備建置-振元資訊有限公司</v>
          </cell>
          <cell r="E3" t="str">
            <v>U00001</v>
          </cell>
        </row>
        <row r="4">
          <cell r="B4" t="str">
            <v>A00002公教退撫基金</v>
          </cell>
          <cell r="C4" t="str">
            <v>X00003	展裕113年度建物消防設備修繕</v>
          </cell>
          <cell r="D4" t="str">
            <v>T00002 112學年度游泳教學履保金-陽光大溪地游泳池</v>
          </cell>
          <cell r="E4" t="str">
            <v>U00002</v>
          </cell>
          <cell r="F4" t="str">
            <v>Y00002土地銀行代收各項費用專戶</v>
          </cell>
        </row>
        <row r="5">
          <cell r="B5" t="str">
            <v>A00003公健保費</v>
          </cell>
          <cell r="C5" t="str">
            <v>X00004	113學年度身心障礙特殊教育班增設教室地板及隔間財物採購佑晟室內裝修工程行</v>
          </cell>
          <cell r="D5" t="str">
            <v>T00003	112學年度液化石油器採購履保金-有聯煤氣行1130630</v>
          </cell>
          <cell r="E5" t="str">
            <v>U00003	禮堂電視牆及字幕機設備-京拓企業有限公司1160603</v>
          </cell>
          <cell r="F5" t="str">
            <v>Y00003薪資專戶</v>
          </cell>
        </row>
        <row r="6">
          <cell r="B6" t="str">
            <v>A00004勞健保費</v>
          </cell>
          <cell r="C6" t="str">
            <v>X00005	「113學年度營養午餐、附幼點心食材暨人力委外採購」永得有限公司</v>
          </cell>
          <cell r="D6" t="str">
            <v>T00004 局部電力改善工程-寶駿實業企業有限公司</v>
          </cell>
          <cell r="E6" t="str">
            <v>U00004	113年觸控液晶顯示器採購-振元資訊有限公司1180729</v>
          </cell>
          <cell r="F6" t="str">
            <v>Y00004代收各項費用專戶</v>
          </cell>
        </row>
        <row r="7">
          <cell r="B7" t="str">
            <v>A00005補充健保費</v>
          </cell>
        </row>
        <row r="7">
          <cell r="D7" t="str">
            <v>T00005 112學年度一至五年級戶外教育-超贊旅行社股份有限公司桃園分公司1130426</v>
          </cell>
          <cell r="E7" t="str">
            <v>U00005 壓克力籃球場整修工程-工展營造有限公司1140903</v>
          </cell>
        </row>
        <row r="8">
          <cell r="B8" t="str">
            <v>A00006勞保費</v>
          </cell>
        </row>
        <row r="8">
          <cell r="D8" t="str">
            <v>T00006	112學年度六年級戶外教育暨畢業旅行-米豐旅行社有限公司1130315</v>
          </cell>
          <cell r="E8" t="str">
            <v>U00006	113學年度身障特殊教育班增設教室地板及隔間-佑晟室內裝修工程行1150808</v>
          </cell>
        </row>
        <row r="9">
          <cell r="B9" t="str">
            <v>A00007新制勞工退休金</v>
          </cell>
        </row>
        <row r="9">
          <cell r="D9" t="str">
            <v>T00007	禮堂電視牆及字幕機設備-京拓企業有限公司</v>
          </cell>
          <cell r="E9" t="str">
            <v>U00007	113年度排水系統水溝蓋整修工程聖尚工程行1160829</v>
          </cell>
        </row>
        <row r="10">
          <cell r="B10" t="str">
            <v>A00008舊制勞工退休準備金</v>
          </cell>
        </row>
        <row r="10">
          <cell r="D10" t="str">
            <v>T00008	聖尚113年度排水系統水溝蓋整修工程</v>
          </cell>
          <cell r="E10" t="str">
            <v>U00008	專科教室暨幼兒園觸屏設備建置振元資訊有限公司1190205</v>
          </cell>
        </row>
        <row r="11">
          <cell r="B11" t="str">
            <v>A00009代扣稅款</v>
          </cell>
        </row>
        <row r="11">
          <cell r="D11" t="str">
            <v>T00009	113年度廚師廚藝精進研習計畫 -超贊行社股份有限公司桃園分公司</v>
          </cell>
          <cell r="E11" t="str">
            <v>U00009 午餐廚房設備更新11405保固金-緯成興業117.8.24</v>
          </cell>
        </row>
        <row r="12">
          <cell r="B12" t="str">
            <v>A00010員工宿舍費</v>
          </cell>
        </row>
        <row r="12">
          <cell r="D12" t="str">
            <v>T00010	113年觸控液晶顯示器採購-振元資訊有限公司</v>
          </cell>
          <cell r="E12" t="str">
            <v>U00010 午餐廚房設備蒸汽鍋爐更新保固金-本昭興業股份有限公司118.2.25</v>
          </cell>
        </row>
        <row r="13">
          <cell r="B13" t="str">
            <v>A00011文康活動費</v>
          </cell>
        </row>
        <row r="13">
          <cell r="D13" t="str">
            <v>T00011	113學年度身心障礙特殊教育班增設教室地板及隔間-佑晟室內裝修工程行</v>
          </cell>
          <cell r="E13" t="str">
            <v>U00011</v>
          </cell>
        </row>
        <row r="14">
          <cell r="B14" t="str">
            <v>A00012專案加班費(114年專案補助)</v>
          </cell>
        </row>
        <row r="14">
          <cell r="D14" t="str">
            <v>T00012	113學年度液化石油氣採購-春源煤氣有限公司1140630</v>
          </cell>
          <cell r="E14" t="str">
            <v>U00012</v>
          </cell>
        </row>
        <row r="15">
          <cell r="B15" t="str">
            <v>A10001專戶利息</v>
          </cell>
        </row>
        <row r="15">
          <cell r="D15" t="str">
            <v>T00013	113學年度游泳教學-陽光大溪地游泳池1140630</v>
          </cell>
          <cell r="E15" t="str">
            <v>U00013</v>
          </cell>
        </row>
        <row r="16">
          <cell r="B16" t="str">
            <v>A20001其他</v>
          </cell>
        </row>
        <row r="16">
          <cell r="D16" t="str">
            <v>T00014	113學年度六年級戶外教育及畢業旅行-米豐旅行社有限公司1140314</v>
          </cell>
          <cell r="E16" t="str">
            <v>U00014</v>
          </cell>
        </row>
        <row r="17">
          <cell r="B17" t="str">
            <v>A20002 院執行</v>
          </cell>
        </row>
        <row r="17">
          <cell r="D17" t="str">
            <v>T00015	113學年度一至五年級戶外教育-超贊旅行社股份有限公司桃園分公司1140513</v>
          </cell>
          <cell r="E17" t="str">
            <v>U00015</v>
          </cell>
        </row>
        <row r="18">
          <cell r="B18" t="str">
            <v>A20003暫收及待結轉項</v>
          </cell>
        </row>
        <row r="18">
          <cell r="D18" t="str">
            <v>T00016 幼兒園二歲專班教學設備工程-光大土木包木業</v>
          </cell>
          <cell r="E18" t="str">
            <v>U00016</v>
          </cell>
        </row>
        <row r="19">
          <cell r="B19" t="str">
            <v>B00000愛心基金及獎助學金**</v>
          </cell>
        </row>
        <row r="19">
          <cell r="D19" t="str">
            <v>T00017	114學年游泳教學履保金-陽光大溪地游泳池</v>
          </cell>
          <cell r="E19" t="str">
            <v>U00017</v>
          </cell>
        </row>
        <row r="20">
          <cell r="B20" t="str">
            <v>B00001教育儲蓄專戶</v>
          </cell>
        </row>
        <row r="20">
          <cell r="D20" t="str">
            <v>T00018	午餐設備廚房更新-案號11405-緯成興業</v>
          </cell>
          <cell r="E20" t="str">
            <v>U00018</v>
          </cell>
        </row>
        <row r="21">
          <cell r="B21" t="str">
            <v>B00002仁愛基金</v>
          </cell>
        </row>
        <row r="21">
          <cell r="D21" t="str">
            <v>T00019	114學年度液化石油氣採購-春源煤氣有限公司</v>
          </cell>
          <cell r="E21" t="str">
            <v>U00019</v>
          </cell>
        </row>
        <row r="22">
          <cell r="B22" t="str">
            <v>B00003</v>
          </cell>
        </row>
        <row r="22">
          <cell r="E22" t="str">
            <v>U00020創源國際有限公司-前瞻基礎建設-智慧學習教室(1)-111.11.11</v>
          </cell>
        </row>
        <row r="23">
          <cell r="B23" t="str">
            <v>B00004文教基金利息</v>
          </cell>
        </row>
        <row r="23">
          <cell r="D23" t="str">
            <v>T00030 114年觸控液晶顯示器採購-振元資訊有限公司</v>
          </cell>
          <cell r="E23" t="str">
            <v>U00021創源國際有限公司-前瞻基礎建設-校園數位建設計畫(2)-112.1.18</v>
          </cell>
        </row>
        <row r="24">
          <cell r="B24" t="str">
            <v>B00005學產基金急難助學金</v>
          </cell>
        </row>
        <row r="24">
          <cell r="D24" t="str">
            <v>T00043 111年游泳教學屢保金-陽光大溪地游泳池</v>
          </cell>
          <cell r="E24" t="str">
            <v>U00022</v>
          </cell>
        </row>
        <row r="25">
          <cell r="B25" t="str">
            <v>B00006學產基金低收入戶學生助學金</v>
          </cell>
        </row>
        <row r="25">
          <cell r="D25" t="str">
            <v>T00044 午餐廚房設備更新</v>
          </cell>
          <cell r="E25" t="str">
            <v>U00023教室節能循環設備改善-永欣佳有限公司-1070821</v>
          </cell>
        </row>
        <row r="26">
          <cell r="B26" t="str">
            <v>B00007其他各項助學金及獎學金</v>
          </cell>
        </row>
        <row r="26">
          <cell r="E26" t="str">
            <v>U00024</v>
          </cell>
        </row>
        <row r="27">
          <cell r="B27" t="str">
            <v>B00008身心障礙學生獎助金</v>
          </cell>
        </row>
        <row r="27">
          <cell r="E27" t="str">
            <v>U00025</v>
          </cell>
        </row>
        <row r="28">
          <cell r="B28" t="str">
            <v>B00009	軍公教遺族及身心障礙榮軍子女學費用優待</v>
          </cell>
        </row>
        <row r="28">
          <cell r="D28" t="str">
            <v>T00045 114學年度六年級戶外教學暨畢業旅行-米豐旅行社有限公司</v>
          </cell>
          <cell r="E28" t="str">
            <v>U00026</v>
          </cell>
        </row>
        <row r="29">
          <cell r="B29" t="str">
            <v>B00010鍾語星鍾語辰助學金</v>
          </cell>
        </row>
        <row r="29">
          <cell r="D29" t="str">
            <v>T00046 無障礙坡道改善工程-喬德工程有限公司</v>
          </cell>
          <cell r="E29" t="str">
            <v>U00027</v>
          </cell>
        </row>
        <row r="30">
          <cell r="B30" t="str">
            <v>B00011全國學生音樂比賽基本補助費暨獎勵金</v>
          </cell>
        </row>
        <row r="30">
          <cell r="D30" t="str">
            <v xml:space="preserve">T00047 樂活體育設備投籃機採購-強生運動科技股份有限公司	</v>
          </cell>
          <cell r="E30" t="str">
            <v>U00028</v>
          </cell>
        </row>
        <row r="31">
          <cell r="B31" t="str">
            <v>B00012小康計畫仁愛獎助學金</v>
          </cell>
        </row>
        <row r="31">
          <cell r="D31" t="str">
            <v>T00048 114學年度一至五年級戶外教學-超贊旅行社股份有限公司桃園分公司</v>
          </cell>
          <cell r="E31" t="str">
            <v>U00029</v>
          </cell>
        </row>
        <row r="32">
          <cell r="B32" t="str">
            <v>B00013潘柔妃助學金</v>
          </cell>
        </row>
        <row r="32">
          <cell r="D32" t="str">
            <v>T00049 午餐廚房設備蒸汽鍋爐更新履約保證金-本昭興業股份有限公司</v>
          </cell>
          <cell r="E32" t="str">
            <v>U00030</v>
          </cell>
        </row>
        <row r="33">
          <cell r="B33" t="str">
            <v>B00014原住民獎助學金</v>
          </cell>
        </row>
        <row r="33">
          <cell r="E33" t="str">
            <v>U00031創源國際有限公司-前瞻基礎建設-校園數位新進教師專案(3)-112.1.30</v>
          </cell>
        </row>
        <row r="34">
          <cell r="B34" t="str">
            <v>B00015新住民及其子女培力獎助學金</v>
          </cell>
        </row>
        <row r="34">
          <cell r="E34" t="str">
            <v>U00032</v>
          </cell>
        </row>
        <row r="35">
          <cell r="B35" t="str">
            <v>B00016清寒與優秀學生獎勵金</v>
          </cell>
        </row>
        <row r="35">
          <cell r="E35" t="str">
            <v>U00033創源國際有限公司-108年度建置數位互動教學設備-112.5.23</v>
          </cell>
        </row>
        <row r="36">
          <cell r="B36" t="str">
            <v>B00017許潮英基金會助學金</v>
          </cell>
        </row>
        <row r="36">
          <cell r="E36" t="str">
            <v>U00034</v>
          </cell>
        </row>
        <row r="37">
          <cell r="B37" t="str">
            <v>B20000校務發展經費</v>
          </cell>
        </row>
        <row r="37">
          <cell r="E37" t="str">
            <v xml:space="preserve">U00035 
</v>
          </cell>
        </row>
        <row r="38">
          <cell r="B38" t="str">
            <v>B20001校務發展經費-校園修繕及專案建設經費</v>
          </cell>
        </row>
        <row r="38">
          <cell r="E38" t="str">
            <v xml:space="preserve">U00036 
</v>
          </cell>
        </row>
        <row r="39">
          <cell r="B39" t="str">
            <v>B20002校務發展經費-充實教學設備</v>
          </cell>
        </row>
        <row r="39">
          <cell r="E39" t="str">
            <v xml:space="preserve">U00037 
</v>
          </cell>
        </row>
        <row r="40">
          <cell r="B40" t="str">
            <v>B20003校務發展經費-辦理教育活動及提供師生獎勵金</v>
          </cell>
        </row>
        <row r="40">
          <cell r="E40" t="str">
            <v xml:space="preserve">U00038 遊戲設施更新暨修繕保固金-泓育國際有限公司112.5.31
</v>
          </cell>
        </row>
        <row r="41">
          <cell r="B41" t="str">
            <v>B20004 校務發展經費-其他與校務發展相關經費</v>
          </cell>
        </row>
        <row r="41">
          <cell r="E41" t="str">
            <v xml:space="preserve">U00039 AC區鋪面暨排水修建工程保固金-信德土木包工業112.11.15
</v>
          </cell>
        </row>
        <row r="42">
          <cell r="B42" t="str">
            <v>B20005校務發展經費-校務發展經費-辦理教師專業精進教學活動</v>
          </cell>
        </row>
        <row r="42">
          <cell r="E42" t="str">
            <v xml:space="preserve">U00040 C-2棟耐震補強工程保固金-東采營造有限公司114.11.22
</v>
          </cell>
        </row>
        <row r="43">
          <cell r="B43" t="str">
            <v>B20007校務發展經費-校務發展經費-資源班活動、教具及奬勵品</v>
          </cell>
        </row>
        <row r="43">
          <cell r="E43" t="str">
            <v xml:space="preserve">U00041 新設兒童遊戲場保固金-泓育國際有限公司113.1.17
</v>
          </cell>
        </row>
        <row r="44">
          <cell r="B44" t="str">
            <v>C00000學生繳費************</v>
          </cell>
        </row>
        <row r="44">
          <cell r="E44" t="str">
            <v xml:space="preserve">U00042 無障礙景觀電梯增建工程保固金-廣峰營造有限公司115.3.1
</v>
          </cell>
        </row>
        <row r="45">
          <cell r="B45" t="str">
            <v>C00001平安保險費</v>
          </cell>
        </row>
        <row r="45">
          <cell r="E45" t="str">
            <v xml:space="preserve">U00043 廚房設備改善工程保固金-緯成興業有限公司112.2.22
</v>
          </cell>
        </row>
        <row r="46">
          <cell r="B46" t="str">
            <v>C00002家長會費</v>
          </cell>
        </row>
        <row r="46">
          <cell r="E46" t="str">
            <v xml:space="preserve">U00044 廚房屋頂防水隔熱整修工程保固金-仁合土木包工業112.6.29
</v>
          </cell>
        </row>
        <row r="47">
          <cell r="B47" t="str">
            <v>C00003課後照顧班</v>
          </cell>
        </row>
        <row r="47">
          <cell r="E47" t="str">
            <v xml:space="preserve">U00045 廚房設備雨遮(採光罩)改善工程保固金-東鑫工程行112.6.3
</v>
          </cell>
        </row>
        <row r="48">
          <cell r="B48" t="str">
            <v>C00004教科書款</v>
          </cell>
        </row>
        <row r="48">
          <cell r="E48" t="str">
            <v xml:space="preserve">U00046 半戶外球場工程保固金-東鑫工程行115.5.16
</v>
          </cell>
        </row>
        <row r="49">
          <cell r="B49" t="str">
            <v>C00005簿本費</v>
          </cell>
        </row>
        <row r="49">
          <cell r="E49" t="str">
            <v xml:space="preserve">U00047 AC區鋪面修繕工程保固金-鑨申工程有限公司113.9.27
</v>
          </cell>
        </row>
        <row r="50">
          <cell r="B50" t="str">
            <v>C00006美勞材料費</v>
          </cell>
        </row>
        <row r="50">
          <cell r="E50" t="str">
            <v>U00048 新設兒童創意地景遊戲場保固金-泓育國際有限公司113.11.4</v>
          </cell>
        </row>
        <row r="51">
          <cell r="B51" t="str">
            <v>C00007名牌</v>
          </cell>
        </row>
        <row r="51">
          <cell r="E51" t="str">
            <v>U00049 建置教室數位互動教學設備保固金-創源國際有限公司115.11.28</v>
          </cell>
        </row>
        <row r="52">
          <cell r="B52" t="str">
            <v>C00008社團活動費</v>
          </cell>
        </row>
        <row r="52">
          <cell r="E52" t="str">
            <v>U00050 第二校區拆除暨修繕工程保固金-新盛嘉工程有限公司112.1.19</v>
          </cell>
        </row>
        <row r="53">
          <cell r="B53" t="str">
            <v>C00009畢業紀念冊</v>
          </cell>
        </row>
        <row r="53">
          <cell r="E53" t="str">
            <v>U00051 111學年度建置數位互動教學設備(觸屏)保固金-振元資訊有限公司116.8.14</v>
          </cell>
        </row>
        <row r="54">
          <cell r="B54" t="str">
            <v>C00010 木工材料</v>
          </cell>
        </row>
        <row r="54">
          <cell r="E54" t="str">
            <v>U00052 電力系統改善工程保固金-全馳科技股份有限公司113.9.6</v>
          </cell>
        </row>
        <row r="55">
          <cell r="B55" t="str">
            <v>C00011一年級校外教學</v>
          </cell>
        </row>
        <row r="55">
          <cell r="E55" t="str">
            <v>U00053 側門地坪鋪面暨排水整修工程保固金-茄億土木包工業114.8.31</v>
          </cell>
        </row>
        <row r="56">
          <cell r="B56" t="str">
            <v>C00012二年級校外教學</v>
          </cell>
        </row>
        <row r="56">
          <cell r="E56" t="str">
            <v>U00054 半戶外球場遮陽板增設工程保固金-博翔營造股份有限公司112.12.25</v>
          </cell>
        </row>
        <row r="57">
          <cell r="B57" t="str">
            <v>C00013三年級校外教學</v>
          </cell>
        </row>
        <row r="57">
          <cell r="E57" t="str">
            <v>U00055 午餐廚房設備更新暨修繕工程保固金-鼎信土木包工業有限公司114.2.9</v>
          </cell>
        </row>
        <row r="58">
          <cell r="B58" t="str">
            <v>C00014四年級校外教學</v>
          </cell>
        </row>
        <row r="58">
          <cell r="E58" t="str">
            <v>U00056	114年觸控液晶顯示器採購-振元資訊有限公司119.7.31</v>
          </cell>
        </row>
        <row r="59">
          <cell r="B59" t="str">
            <v>C00015五年級校外教學</v>
          </cell>
        </row>
        <row r="59">
          <cell r="E59" t="str">
            <v>U00057 幼兒園二歲專班教學設備工程保固金-光大土木包工業117.9.22</v>
          </cell>
        </row>
        <row r="60">
          <cell r="B60" t="str">
            <v>C00016六年級校外教學</v>
          </cell>
        </row>
        <row r="60">
          <cell r="E60" t="str">
            <v>U00058 樂活體育設備投籃機保固金-強生運動科技股份有限公司118.12.7</v>
          </cell>
        </row>
        <row r="61">
          <cell r="B61" t="str">
            <v>C00019游泳教學</v>
          </cell>
        </row>
        <row r="61">
          <cell r="E61" t="str">
            <v>U00059 無障礙坡道改善工程保固金-喬德工程有限公司118.1.25</v>
          </cell>
        </row>
        <row r="62">
          <cell r="B62" t="str">
            <v>C00020蒸飯費</v>
          </cell>
        </row>
        <row r="63">
          <cell r="B63" t="str">
            <v>C00021鄉土教學</v>
          </cell>
        </row>
        <row r="64">
          <cell r="B64" t="str">
            <v>D00000員工各項補助及退撫**</v>
          </cell>
        </row>
        <row r="65">
          <cell r="B65" t="str">
            <v>D00001	文康活動費</v>
          </cell>
        </row>
        <row r="66">
          <cell r="B66" t="str">
            <v>D00002	代理教師採計職前年資敘薪</v>
          </cell>
        </row>
        <row r="67">
          <cell r="B67" t="str">
            <v>D00003	資深優良教師獎勵金</v>
          </cell>
        </row>
        <row r="68">
          <cell r="B68" t="str">
            <v>D00004</v>
          </cell>
        </row>
        <row r="69">
          <cell r="B69" t="str">
            <v>D00005</v>
          </cell>
        </row>
        <row r="70">
          <cell r="B70" t="str">
            <v>D00006</v>
          </cell>
        </row>
        <row r="71">
          <cell r="B71" t="str">
            <v>D00007</v>
          </cell>
        </row>
        <row r="72">
          <cell r="B72" t="str">
            <v>D00008</v>
          </cell>
        </row>
        <row r="73">
          <cell r="B73" t="str">
            <v>D00009</v>
          </cell>
        </row>
        <row r="74">
          <cell r="B74" t="str">
            <v>E00000各項招標案**********</v>
          </cell>
        </row>
        <row r="75">
          <cell r="B75" t="str">
            <v>E00008 廚房設備補助</v>
          </cell>
        </row>
        <row r="76">
          <cell r="B76" t="str">
            <v>E00009 無障礙景觀電梯工程</v>
          </cell>
        </row>
        <row r="77">
          <cell r="B77" t="str">
            <v>E00010 綜合球場修繕工程</v>
          </cell>
        </row>
        <row r="78">
          <cell r="B78" t="str">
            <v>E00011 建置教室數位互動教學設備經費</v>
          </cell>
        </row>
        <row r="79">
          <cell r="B79" t="str">
            <v>E00012 二校區設備更新</v>
          </cell>
        </row>
        <row r="80">
          <cell r="B80" t="str">
            <v>E00013 創客木工教室</v>
          </cell>
        </row>
        <row r="81">
          <cell r="B81" t="str">
            <v>E00014 AC區鋪面暨排水整修工程</v>
          </cell>
        </row>
        <row r="82">
          <cell r="B82" t="str">
            <v>E00015 遊戲設施更新暨修繕補助款</v>
          </cell>
        </row>
        <row r="83">
          <cell r="B83" t="str">
            <v>E00016 半戶外球場計畫經費</v>
          </cell>
        </row>
        <row r="84">
          <cell r="B84" t="str">
            <v>E00017 第二校區拆除工程補助經費</v>
          </cell>
        </row>
        <row r="85">
          <cell r="B85" t="str">
            <v>E00018 C-2棟耐震補強工程</v>
          </cell>
        </row>
        <row r="86">
          <cell r="B86" t="str">
            <v>E00019 新設兒童遊戲場經費</v>
          </cell>
        </row>
        <row r="87">
          <cell r="B87" t="str">
            <v>E00020 電力系統改善工程案</v>
          </cell>
        </row>
        <row r="88">
          <cell r="B88" t="str">
            <v>E00021 AC區鋪面修繕工程</v>
          </cell>
        </row>
        <row r="89">
          <cell r="B89" t="str">
            <v>E00022 廚房精進計畫</v>
          </cell>
        </row>
        <row r="90">
          <cell r="B90" t="str">
            <v>E00023 兒童遊戲場改善計畫經費</v>
          </cell>
        </row>
        <row r="91">
          <cell r="B91" t="str">
            <v>E00024 側門地坪暨排水整修工程</v>
          </cell>
        </row>
        <row r="93">
          <cell r="B93" t="str">
            <v>F00000各項專案教師薪資及鐘點費******</v>
          </cell>
        </row>
        <row r="94">
          <cell r="B94" t="str">
            <v>F00001原住民族語經費</v>
          </cell>
        </row>
        <row r="95">
          <cell r="B95" t="str">
            <v>F00002特殊教育學生鑑定心評人員施測公假派代鐘點費</v>
          </cell>
        </row>
        <row r="96">
          <cell r="B96" t="str">
            <v>F00003輔導教師人力運用補助</v>
          </cell>
        </row>
        <row r="97">
          <cell r="B97" t="str">
            <v>F00004 特色學校教師員額增置經費</v>
          </cell>
        </row>
        <row r="98">
          <cell r="B98" t="str">
            <v>F00005特教教師調整授課時數減課代課鐘點費</v>
          </cell>
        </row>
        <row r="99">
          <cell r="B99" t="str">
            <v>F00006普通班調整教師授課節數及導師費</v>
          </cell>
        </row>
        <row r="100">
          <cell r="B100" t="str">
            <v>F00007幼兒園導師費及教保費差額</v>
          </cell>
        </row>
        <row r="101">
          <cell r="B101" t="str">
            <v>F00008推動合理教師員額-外加代理教師員額</v>
          </cell>
        </row>
        <row r="102">
          <cell r="B102" t="str">
            <v>F00009教學支援工作人員鐘點費</v>
          </cell>
        </row>
        <row r="103">
          <cell r="B103" t="str">
            <v>F00010推動合理教師員額補助-教師回兼</v>
          </cell>
        </row>
        <row r="104">
          <cell r="B104" t="str">
            <v>F00011代課鐘點費補助</v>
          </cell>
        </row>
        <row r="105">
          <cell r="B105" t="str">
            <v>F00012新住民語文課程遠距直播教學協同鐘點費</v>
          </cell>
        </row>
        <row r="106">
          <cell r="B106" t="str">
            <v>F00013薪傳教師代課鐘點費</v>
          </cell>
        </row>
        <row r="107">
          <cell r="B107" t="str">
            <v xml:space="preserve">F00014 臺灣手語直播共學協同人員鐘點費
</v>
          </cell>
        </row>
        <row r="108">
          <cell r="B108" t="str">
            <v xml:space="preserve">F00015	原住民族語文協同人員
</v>
          </cell>
        </row>
        <row r="110">
          <cell r="B110" t="str">
            <v>F00019桃園市國民小學雙語創新教學方案及課程亮點學校外籍教師聘僱計畫</v>
          </cell>
        </row>
        <row r="111">
          <cell r="B111" t="str">
            <v>F00020國民小學雙語學校資本門經費</v>
          </cell>
        </row>
        <row r="112">
          <cell r="B112" t="str">
            <v>F00021國小及專職族語教師請身心調適假所遺課務代課鐘點費</v>
          </cell>
        </row>
        <row r="113">
          <cell r="B113" t="str">
            <v>G00000總務處**************</v>
          </cell>
        </row>
        <row r="114">
          <cell r="B114" t="str">
            <v>G00001關懷動物生命教育</v>
          </cell>
        </row>
        <row r="115">
          <cell r="B115" t="str">
            <v>G00002水電分攤費</v>
          </cell>
        </row>
        <row r="116">
          <cell r="B116" t="str">
            <v>G00003	校園照明設備改善</v>
          </cell>
        </row>
        <row r="117">
          <cell r="B117" t="str">
            <v>G00004	校園用水設施管理維護改善計畫補助經費</v>
          </cell>
        </row>
        <row r="118">
          <cell r="B118" t="str">
            <v>G00005校園安全維護費</v>
          </cell>
        </row>
        <row r="119">
          <cell r="B119" t="str">
            <v>G00006童軍團</v>
          </cell>
        </row>
        <row r="120">
          <cell r="B120" t="str">
            <v>G00007 壓克力籃球場整修工程</v>
          </cell>
        </row>
        <row r="121">
          <cell r="B121" t="str">
            <v>G00008 電力系統改善暨冷氣裝設群長獎勵計畫</v>
          </cell>
        </row>
        <row r="122">
          <cell r="B122" t="str">
            <v>G00009	局部電力改善工程</v>
          </cell>
        </row>
        <row r="123">
          <cell r="B123" t="str">
            <v>G00010	禮堂LED電視牆暨室內字幕機設備補助款</v>
          </cell>
        </row>
        <row r="124">
          <cell r="B124" t="str">
            <v>G00011	113年度排水系統水溝蓋整修工程</v>
          </cell>
        </row>
        <row r="125">
          <cell r="B125" t="str">
            <v>G00012 冷氣電費補助經費</v>
          </cell>
        </row>
        <row r="126">
          <cell r="B126" t="str">
            <v>G00013 冷氣機維護補助經費</v>
          </cell>
        </row>
        <row r="128">
          <cell r="B128" t="str">
            <v>G00015 安心即時上工計畫經費</v>
          </cell>
        </row>
        <row r="129">
          <cell r="B129" t="str">
            <v>G00016 112年度「改善國民中小學校園環境-冷氣設置」</v>
          </cell>
        </row>
        <row r="130">
          <cell r="B130" t="str">
            <v>G00017 建築物公共安全檢查簽證及申報</v>
          </cell>
        </row>
        <row r="131">
          <cell r="B131" t="str">
            <v>G00018	專科教室及幼兒園觸屏設備建置</v>
          </cell>
        </row>
        <row r="132">
          <cell r="B132" t="str">
            <v xml:space="preserve">G00019 改善校園環境冷氣設置退貨物稅	</v>
          </cell>
        </row>
        <row r="133">
          <cell r="B133" t="str">
            <v>G00020 樂活體育設備投籃機補助款</v>
          </cell>
        </row>
        <row r="134">
          <cell r="B134" t="str">
            <v>G00021 115年缺額工友委辦費</v>
          </cell>
        </row>
        <row r="135">
          <cell r="B135" t="str">
            <v>H00000教務處**************</v>
          </cell>
        </row>
        <row r="136">
          <cell r="B136" t="str">
            <v>H00001閱讀推動計畫</v>
          </cell>
        </row>
        <row r="137">
          <cell r="B137" t="str">
            <v>H00002本土語言教學支援工作人員交通費</v>
          </cell>
        </row>
        <row r="138">
          <cell r="B138" t="str">
            <v>H00003原住民族語教學支援工作人員交通費</v>
          </cell>
        </row>
        <row r="139">
          <cell r="B139" t="str">
            <v>H00004英語教育推廣</v>
          </cell>
        </row>
        <row r="140">
          <cell r="B140" t="str">
            <v>H00005英語讀者劇場競賽參賽選手膳費</v>
          </cell>
        </row>
        <row r="141">
          <cell r="B141" t="str">
            <v>H00006新住民語文說故事競賽</v>
          </cell>
        </row>
        <row r="142">
          <cell r="B142" t="str">
            <v>H00007推動讀報學校實施計畫</v>
          </cell>
        </row>
        <row r="143">
          <cell r="B143" t="str">
            <v>H00008圖書館閱讀推動教師實施計畫</v>
          </cell>
        </row>
        <row r="144">
          <cell r="B144" t="str">
            <v>H00009補助特定學生就學費用-書籍費及代收代辦費</v>
          </cell>
        </row>
        <row r="145">
          <cell r="B145" t="str">
            <v>H00010學習扶助實施方案經費</v>
          </cell>
        </row>
        <row r="146">
          <cell r="B146" t="str">
            <v>H00011愛的書庫運作經費</v>
          </cell>
        </row>
        <row r="147">
          <cell r="B147" t="str">
            <v>H00012客家戲劇社團</v>
          </cell>
        </row>
        <row r="148">
          <cell r="B148" t="str">
            <v>H00013推動客語生活學校計畫經費</v>
          </cell>
        </row>
        <row r="149">
          <cell r="B149" t="str">
            <v>H00014推動書法教育</v>
          </cell>
        </row>
        <row r="150">
          <cell r="B150" t="str">
            <v>H00015客語能力認證經費</v>
          </cell>
        </row>
        <row r="151">
          <cell r="B151" t="str">
            <v>H00016新住民教師交通費</v>
          </cell>
        </row>
        <row r="152">
          <cell r="B152" t="str">
            <v>H00017教師學習社群經費</v>
          </cell>
        </row>
        <row r="153">
          <cell r="B153" t="str">
            <v>H00018圖書館藏書</v>
          </cell>
        </row>
        <row r="154">
          <cell r="B154" t="str">
            <v>H00019 智慧學校數位學堂計畫</v>
          </cell>
        </row>
        <row r="155">
          <cell r="B155" t="str">
            <v>H00020 雙語課程推動學校</v>
          </cell>
        </row>
        <row r="156">
          <cell r="B156" t="str">
            <v>H00021 網路電路及光纖補助</v>
          </cell>
        </row>
        <row r="157">
          <cell r="B157" t="str">
            <v>H00022 推動創造力暨科學教育計畫</v>
          </cell>
        </row>
        <row r="158">
          <cell r="B158" t="str">
            <v>H00023 揮灑彩筆點亮星空計畫</v>
          </cell>
        </row>
        <row r="159">
          <cell r="B159" t="str">
            <v>H00024	新住民說故事競賽</v>
          </cell>
        </row>
        <row r="160">
          <cell r="B160" t="str">
            <v>H00025 客家藝文競賽</v>
          </cell>
        </row>
        <row r="161">
          <cell r="B161" t="str">
            <v>H00026 補助國中小用書經費</v>
          </cell>
        </row>
        <row r="162">
          <cell r="B162" t="str">
            <v>H00027 輔導團充實教學資源設備經費</v>
          </cell>
        </row>
        <row r="163">
          <cell r="B163" t="str">
            <v>H00028	雙語走讀</v>
          </cell>
        </row>
        <row r="164">
          <cell r="B164" t="str">
            <v>H00029 結合大學資源打造知識城</v>
          </cell>
        </row>
        <row r="165">
          <cell r="B165" t="str">
            <v>H00030 數學差異化教學</v>
          </cell>
        </row>
        <row r="166">
          <cell r="B166" t="str">
            <v>H00031 三星智慧教室補助計畫</v>
          </cell>
        </row>
        <row r="167">
          <cell r="B167" t="str">
            <v>H00032 課程評鑑工作坊經費</v>
          </cell>
        </row>
        <row r="168">
          <cell r="B168" t="str">
            <v>H00033 十二年國教課綱總綱宣導實施計畫</v>
          </cell>
        </row>
        <row r="169">
          <cell r="B169" t="str">
            <v>H00034 原住民族語文競賽</v>
          </cell>
        </row>
        <row r="170">
          <cell r="B170" t="str">
            <v>H00035 輔導團各領域運作經費</v>
          </cell>
        </row>
        <row r="171">
          <cell r="B171" t="str">
            <v>H00036 輔導團各領域代理代課及差旅費經費</v>
          </cell>
        </row>
        <row r="172">
          <cell r="B172" t="str">
            <v>H00037 輔導團團員所屬學校教材教具費</v>
          </cell>
        </row>
        <row r="173">
          <cell r="B173" t="str">
            <v>H00038 教師教學專業與課程品質整體推動計畫</v>
          </cell>
        </row>
        <row r="174">
          <cell r="B174" t="str">
            <v>H00039	公版聯絡簿編輯</v>
          </cell>
        </row>
        <row r="175">
          <cell r="B175" t="str">
            <v>H00040 線上教學實施計畫經費</v>
          </cell>
        </row>
        <row r="176">
          <cell r="B176" t="str">
            <v>H00041 教育實習機構補助費用</v>
          </cell>
        </row>
        <row r="177">
          <cell r="B177" t="str">
            <v>H00042 閱讀力教師經費</v>
          </cell>
        </row>
        <row r="178">
          <cell r="B178" t="str">
            <v>H00043 推動數位學習精進方案</v>
          </cell>
        </row>
        <row r="179">
          <cell r="B179" t="str">
            <v>H00044 閩華雙聲帶教學試辦計畫經費</v>
          </cell>
        </row>
        <row r="180">
          <cell r="B180" t="str">
            <v>H00045 口說英語展能-教師社群</v>
          </cell>
        </row>
        <row r="181">
          <cell r="B181" t="str">
            <v>H00046 能力認證獎勵金</v>
          </cell>
        </row>
        <row r="182">
          <cell r="B182" t="str">
            <v>H00047 課照班營養點心費</v>
          </cell>
        </row>
        <row r="185">
          <cell r="B185" t="str">
            <v>I00000學務處**************</v>
          </cell>
        </row>
        <row r="186">
          <cell r="B186" t="str">
            <v>I10001 交通安全相關設備改善</v>
          </cell>
        </row>
        <row r="187">
          <cell r="B187" t="str">
            <v>I10002 學生健康檢查</v>
          </cell>
        </row>
        <row r="188">
          <cell r="B188" t="str">
            <v>I10003 運動會暨校慶費用</v>
          </cell>
        </row>
        <row r="189">
          <cell r="B189" t="str">
            <v>I10004 提升廁所文化品質計畫</v>
          </cell>
        </row>
        <row r="190">
          <cell r="B190" t="str">
            <v>I10005 暑期育樂活動經費</v>
          </cell>
        </row>
        <row r="191">
          <cell r="B191" t="str">
            <v>I10006 推展學生創意戲劇藝術活動</v>
          </cell>
        </row>
        <row r="192">
          <cell r="B192" t="str">
            <v>I10007 國樂團</v>
          </cell>
        </row>
        <row r="193">
          <cell r="B193" t="str">
            <v>I10008 客家唸謠活動</v>
          </cell>
        </row>
        <row r="194">
          <cell r="B194" t="str">
            <v>I10009	校園志工觀摩活動</v>
          </cell>
        </row>
        <row r="195">
          <cell r="B195" t="str">
            <v>I10010 畢業典禮捐款</v>
          </cell>
        </row>
        <row r="196">
          <cell r="B196" t="str">
            <v>I10011 健康促進學校計畫</v>
          </cell>
        </row>
        <row r="197">
          <cell r="B197" t="str">
            <v>I10012 音樂比賽補助經費</v>
          </cell>
        </row>
        <row r="198">
          <cell r="B198" t="str">
            <v>I10013 品德教育推廣及深耕學校計畫</v>
          </cell>
        </row>
        <row r="199">
          <cell r="B199" t="str">
            <v>I10014	品格教育-孝親活動競實</v>
          </cell>
        </row>
        <row r="200">
          <cell r="B200" t="str">
            <v>I10015	品德教育特色學校觀摩及表揚</v>
          </cell>
        </row>
        <row r="201">
          <cell r="B201" t="str">
            <v>I10016 電影特映會</v>
          </cell>
        </row>
        <row r="202">
          <cell r="B202" t="str">
            <v>I10017 食農戶外教育經費</v>
          </cell>
        </row>
        <row r="203">
          <cell r="B203" t="str">
            <v>I10018 導護志工裝備購置計畫經費</v>
          </cell>
        </row>
        <row r="204">
          <cell r="B204" t="str">
            <v>I10019 藝術競賽補助經費</v>
          </cell>
        </row>
        <row r="206">
          <cell r="B206" t="str">
            <v>I10021	食農教育成果展</v>
          </cell>
        </row>
        <row r="207">
          <cell r="B207" t="str">
            <v>I10022	購置學校護理實務工作手冊</v>
          </cell>
        </row>
        <row r="208">
          <cell r="B208" t="str">
            <v>I10023 廚師廚藝精進研習計畫經費</v>
          </cell>
        </row>
        <row r="209">
          <cell r="B209" t="str">
            <v>I10024	小小消防宣導員體驗營</v>
          </cell>
        </row>
        <row r="210">
          <cell r="B210" t="str">
            <v>I10025	正向管教暨人權法治教育</v>
          </cell>
        </row>
        <row r="211">
          <cell r="B211" t="str">
            <v>I10026	防制學生藥物濫用校園宣導</v>
          </cell>
        </row>
        <row r="212">
          <cell r="B212" t="str">
            <v>I10027 性平事件調查經費</v>
          </cell>
        </row>
        <row r="213">
          <cell r="B213" t="str">
            <v>I10028 充實健康中心設備</v>
          </cell>
        </row>
        <row r="214">
          <cell r="B214" t="str">
            <v>I10029 多元生理用品</v>
          </cell>
        </row>
        <row r="215">
          <cell r="B215" t="str">
            <v>I10030 霸凌事件調查經費</v>
          </cell>
        </row>
        <row r="216">
          <cell r="B216" t="str">
            <v>I10031 推動品德教育教師增能精進計畫</v>
          </cell>
        </row>
        <row r="217">
          <cell r="B217" t="str">
            <v>I10032 世界客家博覽會校外教學活動</v>
          </cell>
        </row>
        <row r="218">
          <cell r="B218" t="str">
            <v>I10033	防災校園建置計畫</v>
          </cell>
        </row>
        <row r="219">
          <cell r="B219" t="str">
            <v>I10034	桃園燈會</v>
          </cell>
        </row>
        <row r="221">
          <cell r="B221" t="str">
            <v>I10036	戶外教育</v>
          </cell>
        </row>
        <row r="222">
          <cell r="B222" t="str">
            <v>I10037	學校護理人員寒假繼續教育</v>
          </cell>
        </row>
        <row r="223">
          <cell r="B223" t="str">
            <v>I10038	大嵙崁彩繪牆徵畫活動</v>
          </cell>
        </row>
        <row r="224">
          <cell r="B224" t="str">
            <v>I10039 無菸家庭宣導經費</v>
          </cell>
        </row>
        <row r="225">
          <cell r="B225" t="str">
            <v>I10040 月經教育海報比賽經費</v>
          </cell>
        </row>
        <row r="226">
          <cell r="B226" t="str">
            <v>I10041 補助參觀特色場館或藝文展演活動實施計晝</v>
          </cell>
        </row>
        <row r="227">
          <cell r="B227" t="str">
            <v>I20000早午餐**************</v>
          </cell>
        </row>
        <row r="228">
          <cell r="B228" t="str">
            <v>I20001午餐費</v>
          </cell>
        </row>
        <row r="229">
          <cell r="B229" t="str">
            <v>I20002學生幸福營養早餐發放人員加班費</v>
          </cell>
        </row>
        <row r="230">
          <cell r="B230" t="str">
            <v>I20003午餐補助經費</v>
          </cell>
        </row>
        <row r="231">
          <cell r="B231" t="str">
            <v>I20004 113學年度第二階段學校午餐廚房設備更新暨修繕補助」經費</v>
          </cell>
        </row>
        <row r="232">
          <cell r="B232" t="str">
            <v>I20005學童免費營養早餐補助款</v>
          </cell>
        </row>
        <row r="233">
          <cell r="B233" t="str">
            <v>I20006水廠營養午餐補助</v>
          </cell>
        </row>
        <row r="238">
          <cell r="B238" t="str">
            <v>I30000體育活動各項經費****</v>
          </cell>
        </row>
        <row r="239">
          <cell r="B239" t="str">
            <v>I30001桌球寒暑假育樂營</v>
          </cell>
        </row>
        <row r="240">
          <cell r="B240" t="str">
            <v>I30002躲避球比賽經費</v>
          </cell>
        </row>
        <row r="241">
          <cell r="B241" t="str">
            <v>I30003體育育樂營</v>
          </cell>
        </row>
        <row r="242">
          <cell r="B242" t="str">
            <v>I30004戶外教育</v>
          </cell>
        </row>
        <row r="243">
          <cell r="B243" t="str">
            <v>I30005龍潭區運動選拔賽補助經費</v>
          </cell>
        </row>
        <row r="244">
          <cell r="B244" t="str">
            <v>I30006棒球運動聯賽硬式組</v>
          </cell>
        </row>
        <row r="245">
          <cell r="B245" t="str">
            <v>I30007深耕棒球扎根工作培訓計畫補助</v>
          </cell>
        </row>
        <row r="246">
          <cell r="B246" t="str">
            <v>I30008棒球運動聯賽軟式組</v>
          </cell>
        </row>
        <row r="248">
          <cell r="B248" t="str">
            <v>I30010社區(團)學生棒球發展計畫補助</v>
          </cell>
        </row>
        <row r="249">
          <cell r="B249" t="str">
            <v>I30011棒球運動聯賽軟式女子組</v>
          </cell>
        </row>
        <row r="250">
          <cell r="B250" t="str">
            <v>I30012桌球寒暑假育樂營</v>
          </cell>
        </row>
        <row r="251">
          <cell r="B251" t="str">
            <v>I30013桌球隊</v>
          </cell>
        </row>
        <row r="252">
          <cell r="B252" t="str">
            <v>I30014學生體育基本補助及獎勵金</v>
          </cell>
        </row>
        <row r="253">
          <cell r="B253" t="str">
            <v>I30015女子壘球聯賽組訓費</v>
          </cell>
        </row>
        <row r="254">
          <cell r="B254" t="str">
            <v>J00000輔導室**************</v>
          </cell>
        </row>
        <row r="255">
          <cell r="B255" t="str">
            <v xml:space="preserve">J00001資源班增班經費 </v>
          </cell>
        </row>
        <row r="256">
          <cell r="B256" t="str">
            <v>J00002特殊教育專業團隊服務</v>
          </cell>
        </row>
        <row r="257">
          <cell r="B257" t="str">
            <v>J00003青少年情緒輔導諮商專案</v>
          </cell>
        </row>
        <row r="258">
          <cell r="B258" t="str">
            <v>J00004身心障礙生教科書補助</v>
          </cell>
        </row>
        <row r="259">
          <cell r="B259" t="str">
            <v>J00005身心障礙學生就學交通費補助</v>
          </cell>
        </row>
        <row r="260">
          <cell r="B260" t="str">
            <v>J00006身心障礙特殊教育服務方案經費</v>
          </cell>
        </row>
        <row r="261">
          <cell r="B261" t="str">
            <v>J00007自我傷害預防</v>
          </cell>
        </row>
        <row r="262">
          <cell r="B262" t="str">
            <v>J00008身障專班課後照顧</v>
          </cell>
        </row>
        <row r="263">
          <cell r="B263" t="str">
            <v>J00009職業試探講座經費</v>
          </cell>
        </row>
        <row r="264">
          <cell r="B264" t="str">
            <v>J00010專輔教師團體督導工作</v>
          </cell>
        </row>
        <row r="265">
          <cell r="B265" t="str">
            <v>J00011特教知能研習</v>
          </cell>
        </row>
        <row r="266">
          <cell r="B266" t="str">
            <v>J00012教育優先區</v>
          </cell>
        </row>
        <row r="267">
          <cell r="B267" t="str">
            <v>J00013全國中小學客家藝文競賽籌備會</v>
          </cell>
        </row>
        <row r="268">
          <cell r="B268" t="str">
            <v>J00014科教館「『愛』迪生出發」公益學習活動</v>
          </cell>
        </row>
        <row r="269">
          <cell r="B269" t="str">
            <v>J00015兒童性剥削防治</v>
          </cell>
        </row>
        <row r="270">
          <cell r="B270" t="str">
            <v>J00016新住民子女教育計畫</v>
          </cell>
        </row>
        <row r="271">
          <cell r="B271" t="str">
            <v>J00017家庭教育優質化經費</v>
          </cell>
        </row>
        <row r="272">
          <cell r="B272" t="str">
            <v>J00018健腦操經費</v>
          </cell>
        </row>
        <row r="273">
          <cell r="B273" t="str">
            <v>J00019桃園市115年度創造能力教育分區推廣講座場地費</v>
          </cell>
        </row>
        <row r="279">
          <cell r="B279" t="str">
            <v>K00005幼兒園專業發展輔導計畫</v>
          </cell>
        </row>
        <row r="280">
          <cell r="B280" t="str">
            <v>K00006幼兒園點心費</v>
          </cell>
        </row>
        <row r="281">
          <cell r="B281" t="str">
            <v>K00007就學費用補助</v>
          </cell>
        </row>
        <row r="282">
          <cell r="B282" t="str">
            <v>K00008幼兒園餐袋</v>
          </cell>
        </row>
        <row r="283">
          <cell r="B283" t="str">
            <v>K00009幼兒園運動服</v>
          </cell>
        </row>
        <row r="284">
          <cell r="B284" t="str">
            <v>K00010幼兒園延長照顧</v>
          </cell>
        </row>
        <row r="285">
          <cell r="B285" t="str">
            <v xml:space="preserve">K00011學前特殊教育專業知能研習	</v>
          </cell>
        </row>
        <row r="286">
          <cell r="B286" t="str">
            <v>K00012	公私立教保服務機構設施設備改善計畫</v>
          </cell>
        </row>
        <row r="287">
          <cell r="B287" t="str">
            <v>K00013幼兒園畢業紀念冊</v>
          </cell>
        </row>
        <row r="288">
          <cell r="B288" t="str">
            <v>K00014幼兒園校外教學</v>
          </cell>
        </row>
        <row r="289">
          <cell r="B289" t="str">
            <v>K00015教保研習經費</v>
          </cell>
        </row>
        <row r="290">
          <cell r="B290" t="str">
            <v>K00016幼兒教育助學金行政作業費</v>
          </cell>
        </row>
        <row r="291">
          <cell r="B291" t="str">
            <v>K00017	2歲專班充實及改善教學環境設施設備</v>
          </cell>
        </row>
        <row r="292">
          <cell r="B292" t="str">
            <v>K00018	無菸家庭宣導</v>
          </cell>
        </row>
        <row r="293">
          <cell r="B293" t="str">
            <v>K00019幼兒園畢業餐會</v>
          </cell>
        </row>
        <row r="294">
          <cell r="B294" t="str">
            <v>K00020四歲幼兒就學補助</v>
          </cell>
        </row>
        <row r="295">
          <cell r="B295" t="str">
            <v>K00021身心障礙特殊教育服務方案經費</v>
          </cell>
        </row>
        <row r="296">
          <cell r="B296" t="str">
            <v>K00022 幼兒園專業發展社群經費</v>
          </cell>
        </row>
        <row r="297">
          <cell r="B297" t="str">
            <v>K00023	幼兒園圍兜費</v>
          </cell>
        </row>
        <row r="298">
          <cell r="B298" t="str">
            <v>K00024 幼兒園無障礙坡道改善工程</v>
          </cell>
        </row>
        <row r="299">
          <cell r="B299" t="str">
            <v>K00025 辦理公共化幼兒園圖書經費</v>
          </cell>
        </row>
        <row r="300">
          <cell r="B300" t="str">
            <v>L00000 人事室</v>
          </cell>
        </row>
        <row r="301">
          <cell r="B301" t="str">
            <v>L00001	資深優良教師獎勵金</v>
          </cell>
        </row>
      </sheetData>
      <sheetData sheetId="1"/>
      <sheetData sheetId="2">
        <row r="1">
          <cell r="B1" t="str">
            <v>用人費用-1</v>
          </cell>
          <cell r="C1" t="str">
            <v>服務費用-2</v>
          </cell>
          <cell r="D1" t="str">
            <v>材料及用品費-3</v>
          </cell>
          <cell r="E1" t="str">
            <v>租金、償債與利息-4</v>
          </cell>
          <cell r="F1" t="str">
            <v>稅捐及規費6</v>
          </cell>
          <cell r="G1" t="str">
            <v>會費、捐助、補助、分攤、照護、救濟與交流活動費-7</v>
          </cell>
          <cell r="H1" t="str">
            <v>其他-9</v>
          </cell>
          <cell r="I1" t="str">
            <v>營建及修建工程-5M2</v>
          </cell>
          <cell r="J1" t="str">
            <v>交通及運輸設備-5M3</v>
          </cell>
          <cell r="K1" t="str">
            <v>其他設備-5M4</v>
          </cell>
          <cell r="L1" t="str">
            <v>無形資產-5M5</v>
          </cell>
        </row>
        <row r="2">
          <cell r="B2" t="str">
            <v>113職員薪金</v>
          </cell>
          <cell r="C2" t="str">
            <v>212工作場所電費</v>
          </cell>
          <cell r="D2" t="str">
            <v>315設備零件</v>
          </cell>
          <cell r="E2" t="str">
            <v>451機器租賃</v>
          </cell>
          <cell r="F2" t="str">
            <v>612一般土地地價稅</v>
          </cell>
          <cell r="G2" t="str">
            <v>713職業團體會費</v>
          </cell>
          <cell r="H2" t="str">
            <v>91Y其他</v>
          </cell>
          <cell r="I2" t="str">
            <v>513擴充改良房屋建築及設備</v>
          </cell>
          <cell r="J2" t="str">
            <v>515購置交通及運輸設備</v>
          </cell>
          <cell r="K2" t="str">
            <v>514購置機械及設備</v>
          </cell>
          <cell r="L2" t="str">
            <v>521購置電腦軟體</v>
          </cell>
        </row>
        <row r="3">
          <cell r="B3" t="str">
            <v>114工員工資</v>
          </cell>
          <cell r="C3" t="str">
            <v>214工作場所水費</v>
          </cell>
          <cell r="D3" t="str">
            <v>321辦公(事務)用品</v>
          </cell>
        </row>
        <row r="3">
          <cell r="G3" t="str">
            <v>726獎助學員生給與</v>
          </cell>
        </row>
        <row r="3">
          <cell r="K3" t="str">
            <v>516購置什項設備</v>
          </cell>
        </row>
        <row r="4">
          <cell r="B4" t="str">
            <v>121聘用人員薪金</v>
          </cell>
          <cell r="C4" t="str">
            <v>221郵費</v>
          </cell>
          <cell r="D4" t="str">
            <v>322報章什誌</v>
          </cell>
        </row>
        <row r="4">
          <cell r="G4" t="str">
            <v>73Y分擔其他費用</v>
          </cell>
        </row>
        <row r="5">
          <cell r="B5" t="str">
            <v>122約僱職員薪金</v>
          </cell>
          <cell r="C5" t="str">
            <v>222電話費</v>
          </cell>
          <cell r="D5" t="str">
            <v>323農業與園藝用品及環境美化費</v>
          </cell>
        </row>
        <row r="5">
          <cell r="G5" t="str">
            <v>743獎勵費用</v>
          </cell>
        </row>
        <row r="6">
          <cell r="B6" t="str">
            <v>124兼職人員酬金</v>
          </cell>
          <cell r="C6" t="str">
            <v>224數據通信費</v>
          </cell>
          <cell r="D6" t="str">
            <v>328醫療用品</v>
          </cell>
        </row>
        <row r="6">
          <cell r="G6" t="str">
            <v>751技能競賽</v>
          </cell>
        </row>
        <row r="7">
          <cell r="B7" t="str">
            <v>131加班費</v>
          </cell>
          <cell r="C7" t="str">
            <v>231國內旅費</v>
          </cell>
          <cell r="D7" t="str">
            <v>32Y其他</v>
          </cell>
        </row>
        <row r="8">
          <cell r="B8" t="str">
            <v>151考績獎金</v>
          </cell>
          <cell r="C8" t="str">
            <v>235貨物運費</v>
          </cell>
        </row>
        <row r="9">
          <cell r="B9" t="str">
            <v>152年終獎金</v>
          </cell>
          <cell r="C9" t="str">
            <v>241印刷及裝訂費</v>
          </cell>
        </row>
        <row r="10">
          <cell r="B10" t="str">
            <v>15Y 其他獎金</v>
          </cell>
          <cell r="C10" t="str">
            <v>252一般房屋修護費</v>
          </cell>
        </row>
        <row r="11">
          <cell r="B11" t="str">
            <v>161職員退休及離職金</v>
          </cell>
          <cell r="C11" t="str">
            <v>254其他建築修護費</v>
          </cell>
        </row>
        <row r="12">
          <cell r="B12" t="str">
            <v>162工員退休及離職金</v>
          </cell>
          <cell r="C12" t="str">
            <v>255機械及設備修護費</v>
          </cell>
        </row>
        <row r="13">
          <cell r="B13" t="str">
            <v>181分擔員工保險費</v>
          </cell>
          <cell r="C13" t="str">
            <v>257什項設備修護費</v>
          </cell>
        </row>
        <row r="14">
          <cell r="B14" t="str">
            <v>183傷病醫藥費</v>
          </cell>
          <cell r="C14" t="str">
            <v>26Y其他保險費</v>
          </cell>
        </row>
        <row r="15">
          <cell r="B15" t="str">
            <v>18Y其他福利費</v>
          </cell>
          <cell r="C15" t="str">
            <v>276佣金、匯費、經理費及手續費</v>
          </cell>
        </row>
        <row r="16">
          <cell r="C16" t="str">
            <v>279外包費</v>
          </cell>
        </row>
        <row r="17">
          <cell r="C17" t="str">
            <v>27D計時與計件人員酬金</v>
          </cell>
        </row>
        <row r="18">
          <cell r="C18" t="str">
            <v>27F體育活動費</v>
          </cell>
        </row>
        <row r="19">
          <cell r="C19" t="str">
            <v>285講課鐘點稿費出席審查及查詢費</v>
          </cell>
        </row>
        <row r="20">
          <cell r="C20" t="str">
            <v>287委託檢驗(定)試驗認證費</v>
          </cell>
        </row>
        <row r="21">
          <cell r="C21" t="str">
            <v>288委託考選訓練費</v>
          </cell>
        </row>
        <row r="22">
          <cell r="C22" t="str">
            <v>28A電子計算機軟體服務費</v>
          </cell>
        </row>
        <row r="23">
          <cell r="C23" t="str">
            <v>291公共關係費</v>
          </cell>
        </row>
      </sheetData>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W35"/>
  <sheetViews>
    <sheetView showFormulas="0" showGridLines="1" showRowColHeaders="1" showZeros="0"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89453125" defaultRowHeight="16.5" zeroHeight="0" outlineLevelRow="0"/>
  <cols>
    <col width="10.87" customWidth="1" style="123" min="1" max="1"/>
    <col width="6.5" customWidth="1" style="123" min="2" max="2"/>
    <col hidden="1" width="3.62" customWidth="1" style="123" min="3" max="3"/>
    <col width="5.49" customWidth="1" style="123" min="4" max="4"/>
    <col width="6.5" customWidth="1" style="123" min="5" max="5"/>
    <col width="3.5" customWidth="1" style="123" min="6" max="6"/>
    <col width="2.87" customWidth="1" style="123" min="7" max="7"/>
    <col width="12.87" customWidth="1" style="123" min="8" max="8"/>
    <col width="4.62" customWidth="1" style="123" min="9" max="9"/>
    <col width="5.62" customWidth="1" style="123" min="10" max="10"/>
    <col width="7.11" customWidth="1" style="123" min="11" max="11"/>
    <col width="4.62" customWidth="1" style="123" min="12" max="15"/>
    <col width="6.36" customWidth="1" style="123" min="16" max="16"/>
    <col width="6.24" customWidth="1" style="123" min="17" max="17"/>
    <col width="9.119999999999999" customWidth="1" style="123" min="18" max="18"/>
    <col width="11.36" customWidth="1" style="123" min="22" max="22"/>
  </cols>
  <sheetData>
    <row r="1" ht="27.75" customHeight="1" s="124">
      <c r="A1" s="125" t="inlineStr">
        <is>
          <t>桃園市龍潭區石門國民小學粘貼憑證用紙</t>
        </is>
      </c>
      <c r="B1" s="126" t="n"/>
      <c r="C1" s="126" t="n"/>
      <c r="D1" s="126" t="n"/>
      <c r="E1" s="126" t="n"/>
      <c r="F1" s="126" t="n"/>
      <c r="G1" s="126" t="n"/>
      <c r="H1" s="126" t="n"/>
      <c r="I1" s="126" t="n"/>
      <c r="J1" s="126" t="n"/>
      <c r="K1" s="126" t="n"/>
      <c r="L1" s="126" t="n"/>
      <c r="M1" s="126" t="n"/>
      <c r="N1" s="126" t="n"/>
      <c r="O1" s="126" t="n"/>
      <c r="P1" s="126" t="n"/>
      <c r="Q1" s="126" t="n"/>
      <c r="R1" s="126" t="n"/>
    </row>
    <row r="2" ht="17.25" customHeight="1" s="124">
      <c r="A2" s="127" t="inlineStr">
        <is>
          <t>所屬年度:</t>
        </is>
      </c>
      <c r="B2" s="128" t="n">
        <v>112</v>
      </c>
      <c r="C2" s="129" t="n"/>
      <c r="D2" s="130" t="n"/>
      <c r="E2" s="131" t="n"/>
      <c r="F2" s="131" t="n"/>
      <c r="G2" s="131" t="n"/>
      <c r="H2" s="131" t="n"/>
      <c r="I2" s="131" t="n"/>
      <c r="J2" s="131" t="n"/>
      <c r="K2" s="131" t="n"/>
      <c r="L2" s="131" t="n"/>
      <c r="M2" s="131" t="n"/>
      <c r="N2" s="131" t="n"/>
      <c r="O2" s="131" t="n"/>
      <c r="P2" s="132" t="inlineStr">
        <is>
          <t>簽證</t>
        </is>
      </c>
      <c r="Q2" s="129" t="n"/>
      <c r="R2" s="133" t="inlineStr">
        <is>
          <t xml:space="preserve">   號</t>
        </is>
      </c>
    </row>
    <row r="3" ht="17.25" customHeight="1" s="124">
      <c r="A3" s="134" t="inlineStr">
        <is>
          <t>憑證編號</t>
        </is>
      </c>
      <c r="B3" s="135" t="inlineStr">
        <is>
          <t>預 算 科 目</t>
        </is>
      </c>
      <c r="C3" s="136" t="n"/>
      <c r="D3" s="136" t="n"/>
      <c r="E3" s="136" t="n"/>
      <c r="F3" s="137" t="n"/>
      <c r="G3" s="138" t="inlineStr">
        <is>
          <t>金         額</t>
        </is>
      </c>
      <c r="H3" s="136" t="n"/>
      <c r="I3" s="136" t="n"/>
      <c r="J3" s="136" t="n"/>
      <c r="K3" s="136" t="n"/>
      <c r="L3" s="136" t="n"/>
      <c r="M3" s="136" t="n"/>
      <c r="N3" s="136" t="n"/>
      <c r="O3" s="137" t="n"/>
      <c r="P3" s="138" t="inlineStr">
        <is>
          <t>用  途  說  明</t>
        </is>
      </c>
      <c r="Q3" s="136" t="n"/>
      <c r="R3" s="137" t="n"/>
      <c r="T3" s="139" t="inlineStr">
        <is>
          <t>說明</t>
        </is>
      </c>
    </row>
    <row r="4" ht="29.25" customHeight="1" s="124">
      <c r="A4" s="140" t="n"/>
      <c r="B4" s="141" t="inlineStr">
        <is>
          <t>應付代收款</t>
        </is>
      </c>
      <c r="C4" s="142" t="n"/>
      <c r="D4" s="142" t="n"/>
      <c r="E4" s="142" t="n"/>
      <c r="F4" s="143" t="n"/>
      <c r="G4" s="144" t="n"/>
      <c r="H4" s="145" t="inlineStr">
        <is>
          <t>千
萬</t>
        </is>
      </c>
      <c r="I4" s="146" t="inlineStr">
        <is>
          <t>百
萬</t>
        </is>
      </c>
      <c r="J4" s="146" t="inlineStr">
        <is>
          <t>十
萬</t>
        </is>
      </c>
      <c r="K4" s="146" t="inlineStr">
        <is>
          <t>萬</t>
        </is>
      </c>
      <c r="L4" s="146" t="inlineStr">
        <is>
          <t>千</t>
        </is>
      </c>
      <c r="M4" s="146" t="inlineStr">
        <is>
          <t>百</t>
        </is>
      </c>
      <c r="N4" s="146" t="inlineStr">
        <is>
          <t>十</t>
        </is>
      </c>
      <c r="O4" s="146" t="inlineStr">
        <is>
          <t>元</t>
        </is>
      </c>
      <c r="P4" s="147">
        <f>IF(ISBLANK(J15),"",J15)</f>
        <v/>
      </c>
      <c r="Q4" s="148" t="n"/>
      <c r="R4" s="149" t="n"/>
      <c r="T4" s="150" t="inlineStr">
        <is>
          <t xml:space="preserve">1.【金額】及【用途說明】為自動帶入，無須填寫。
2.【預算科目】為下拉式選單。
</t>
        </is>
      </c>
      <c r="U4" s="126" t="n"/>
      <c r="V4" s="126" t="n"/>
    </row>
    <row r="5" ht="46.5" customHeight="1" s="124">
      <c r="A5" s="151" t="n"/>
      <c r="B5" s="152" t="inlineStr">
        <is>
          <t>B20001校務發展經費-校園修繕及專案建設經費</t>
        </is>
      </c>
      <c r="C5" s="129" t="n"/>
      <c r="D5" s="129" t="n"/>
      <c r="E5" s="129" t="n"/>
      <c r="F5" s="153" t="n"/>
      <c r="G5" s="154" t="n"/>
      <c r="H5" s="154">
        <f>IF(LEN($G$31)&lt;8,IF($G$31=0,0,"－"),MID($G$31,LEN($G$31)-7,1))</f>
        <v/>
      </c>
      <c r="I5" s="154">
        <f>IF(LEN($G$31)&lt;7,IF($G$31=0,0,"－"),MID($G$31,LEN($G$31)-6,1))</f>
        <v/>
      </c>
      <c r="J5" s="154">
        <f>IF(LEN($G$31)&lt;6,IF($G$31=0,0,"－"),MID($G$31,LEN($G$31)-5,1))</f>
        <v/>
      </c>
      <c r="K5" s="154">
        <f>IF(LEN($G$31)&lt;5,IF($G$31=0,0,"－"),MID($G$31,LEN($G$31)-4,1))</f>
        <v/>
      </c>
      <c r="L5" s="154">
        <f>IF(LEN($G$31)&lt;4,IF($G$31=0,0,"－"),MID($G$31,LEN($G$31)-3,1))</f>
        <v/>
      </c>
      <c r="M5" s="154">
        <f>IF(LEN($G$31)&lt;3,IF($G$31=0,0,"－"),MID($G$31,LEN($G$31)-2,1))</f>
        <v/>
      </c>
      <c r="N5" s="154">
        <f>IF(LEN($G$31)&lt;2,IF($G$31=0,0,"－"),MID($G$31,LEN($G$31)-1,1))</f>
        <v/>
      </c>
      <c r="O5" s="154">
        <f>IF(LEN($G$31)&lt;1,IF($G$31=0,0,"－"),MID($G$31,LEN($G$31)-0,1))</f>
        <v/>
      </c>
      <c r="P5" s="155" t="n"/>
      <c r="Q5" s="156" t="n"/>
      <c r="R5" s="157" t="n"/>
      <c r="T5" s="126" t="n"/>
      <c r="U5" s="126" t="n"/>
      <c r="V5" s="126" t="n"/>
    </row>
    <row r="6" ht="12" customHeight="1" s="124">
      <c r="Q6" s="158" t="n"/>
      <c r="R6" s="158" t="n"/>
      <c r="T6" s="159" t="n"/>
      <c r="U6" s="159" t="n"/>
      <c r="V6" s="159" t="n"/>
    </row>
    <row r="7" ht="33" customHeight="1" s="124">
      <c r="A7" s="160" t="inlineStr">
        <is>
          <t>經辦單位</t>
        </is>
      </c>
      <c r="B7" s="161" t="n"/>
      <c r="C7" s="162" t="n"/>
      <c r="D7" s="163" t="inlineStr">
        <is>
          <t>驗收或證明、保管</t>
        </is>
      </c>
      <c r="E7" s="164" t="n"/>
      <c r="F7" s="165" t="n"/>
      <c r="G7" s="166" t="inlineStr">
        <is>
          <t>總務處</t>
        </is>
      </c>
      <c r="H7" s="162" t="n"/>
      <c r="I7" s="160" t="inlineStr">
        <is>
          <t>登記(所得、物品、財產)</t>
        </is>
      </c>
      <c r="J7" s="161" t="n"/>
      <c r="K7" s="162" t="n"/>
      <c r="L7" s="160" t="inlineStr">
        <is>
          <t>會計單位</t>
        </is>
      </c>
      <c r="M7" s="161" t="n"/>
      <c r="N7" s="161" t="n"/>
      <c r="O7" s="162" t="n"/>
      <c r="P7" s="160" t="inlineStr">
        <is>
          <t>機關長官或
授權代簽人</t>
        </is>
      </c>
      <c r="Q7" s="161" t="n"/>
      <c r="R7" s="162" t="n"/>
      <c r="T7" s="159" t="n"/>
      <c r="U7" s="159" t="n"/>
      <c r="V7" s="159" t="n"/>
    </row>
    <row r="8" ht="52.15" customHeight="1" s="124">
      <c r="A8" s="167" t="inlineStr">
        <is>
          <t>經辦人</t>
        </is>
      </c>
      <c r="B8" s="164" t="n"/>
      <c r="C8" s="168" t="n"/>
      <c r="D8" s="169" t="n"/>
      <c r="E8" s="164" t="n"/>
      <c r="F8" s="165" t="n"/>
      <c r="G8" s="169" t="n"/>
      <c r="H8" s="165" t="n"/>
      <c r="I8" s="170" t="inlineStr">
        <is>
          <t>所得</t>
        </is>
      </c>
      <c r="J8" s="164" t="n"/>
      <c r="K8" s="165" t="n"/>
      <c r="L8" s="171" t="n"/>
      <c r="M8" s="148" t="n"/>
      <c r="N8" s="148" t="n"/>
      <c r="O8" s="149" t="n"/>
      <c r="P8" s="172" t="n"/>
      <c r="Q8" s="148" t="n"/>
      <c r="R8" s="149" t="n"/>
      <c r="T8" s="173" t="inlineStr">
        <is>
          <t xml:space="preserve">1.經辦單位請承辦人及處室主管章，處室主管在虛線處章。       2. 登記(所得、物品、財產 )請書寫物品、財產帳編號。         3.採購案請會辦總務處核章。      </t>
        </is>
      </c>
      <c r="U8" s="126" t="n"/>
      <c r="V8" s="126" t="n"/>
    </row>
    <row r="9" ht="63" customHeight="1" s="124">
      <c r="A9" s="167" t="inlineStr">
        <is>
          <t>經辦主管</t>
        </is>
      </c>
      <c r="B9" s="164" t="n"/>
      <c r="C9" s="174" t="n"/>
      <c r="D9" s="175" t="n"/>
      <c r="E9" s="176" t="n"/>
      <c r="F9" s="177" t="n"/>
      <c r="G9" s="175" t="n"/>
      <c r="H9" s="177" t="n"/>
      <c r="I9" s="170" t="inlineStr">
        <is>
          <t>物品、財產</t>
        </is>
      </c>
      <c r="J9" s="164" t="n"/>
      <c r="K9" s="165" t="n"/>
      <c r="L9" s="178" t="n"/>
      <c r="M9" s="179" t="n"/>
      <c r="N9" s="179" t="n"/>
      <c r="O9" s="180" t="n"/>
      <c r="P9" s="178" t="n"/>
      <c r="Q9" s="179" t="n"/>
      <c r="R9" s="180" t="n"/>
      <c r="T9" s="126" t="n"/>
      <c r="U9" s="126" t="n"/>
      <c r="V9" s="126" t="n"/>
    </row>
    <row r="10" ht="15" customHeight="1" s="124">
      <c r="A10" s="181" t="inlineStr">
        <is>
          <t>（    憑       證       黏       貼       線    ）</t>
        </is>
      </c>
      <c r="B10" s="182" t="n"/>
      <c r="C10" s="182" t="n"/>
      <c r="D10" s="182" t="n"/>
      <c r="E10" s="182" t="n"/>
      <c r="F10" s="182" t="n"/>
      <c r="G10" s="182" t="n"/>
      <c r="H10" s="182" t="n"/>
      <c r="I10" s="182" t="n"/>
      <c r="J10" s="182" t="n"/>
      <c r="K10" s="182" t="n"/>
      <c r="L10" s="182" t="n"/>
      <c r="M10" s="182" t="n"/>
      <c r="N10" s="182" t="n"/>
      <c r="O10" s="182" t="n"/>
      <c r="P10" s="182" t="n"/>
      <c r="Q10" s="182" t="n"/>
      <c r="R10" s="182" t="n"/>
    </row>
    <row r="12" ht="21" customHeight="1" s="124">
      <c r="A12" s="183" t="inlineStr">
        <is>
          <t>動 支 經 費 請 示 單</t>
        </is>
      </c>
      <c r="B12" s="142" t="n"/>
      <c r="C12" s="142" t="n"/>
      <c r="D12" s="142" t="n"/>
      <c r="E12" s="142" t="n"/>
      <c r="F12" s="142" t="n"/>
      <c r="G12" s="142" t="n"/>
      <c r="H12" s="142" t="n"/>
      <c r="I12" s="142" t="n"/>
      <c r="J12" s="142" t="n"/>
      <c r="K12" s="142" t="n"/>
      <c r="L12" s="142" t="n"/>
      <c r="M12" s="143" t="n"/>
      <c r="O12" s="184" t="inlineStr">
        <is>
          <t xml:space="preserve"> □受款人
  □發票(或收據)開立廠商
  □匯入帳戶
  □＿＿＿＿＿墊付
 □扣抵罰賠款     元
 □轉保固金       元
 □代扣稅款      元
 □其他(請列舉並標示金額)</t>
        </is>
      </c>
      <c r="P12" s="164" t="n"/>
      <c r="Q12" s="164" t="n"/>
      <c r="R12" s="165" t="n"/>
      <c r="T12" s="139" t="inlineStr">
        <is>
          <t>說明</t>
        </is>
      </c>
      <c r="W12" s="131" t="n"/>
    </row>
    <row r="13" ht="19.5" customHeight="1" s="124">
      <c r="A13" s="185" t="inlineStr">
        <is>
          <t xml:space="preserve">單位別：      </t>
        </is>
      </c>
      <c r="B13" s="186" t="inlineStr">
        <is>
          <t xml:space="preserve">總務處 </t>
        </is>
      </c>
      <c r="C13" s="129" t="n"/>
      <c r="D13" s="129" t="n"/>
      <c r="E13" s="187" t="n"/>
      <c r="F13" s="188">
        <f>YEAR(TODAY())-1911</f>
        <v/>
      </c>
      <c r="G13" s="129" t="n"/>
      <c r="H13" s="129" t="n"/>
      <c r="I13" s="189" t="inlineStr">
        <is>
          <t>年</t>
        </is>
      </c>
      <c r="J13" s="190" t="n">
        <v>5</v>
      </c>
      <c r="K13" s="190" t="inlineStr">
        <is>
          <t>月</t>
        </is>
      </c>
      <c r="L13" s="190" t="n">
        <v>12</v>
      </c>
      <c r="M13" s="191" t="inlineStr">
        <is>
          <t>日</t>
        </is>
      </c>
      <c r="O13" s="192" t="n"/>
      <c r="R13" s="193" t="n"/>
      <c r="T13" s="150" t="inlineStr">
        <is>
          <t>1.【單位別】為下拉式選單。
2.數量、單價欄位填入後會自動代出金額、合計。
3.【用途說明】欄位填入後，會自動帶入上方對應欄位。</t>
        </is>
      </c>
      <c r="U13" s="126" t="n"/>
      <c r="V13" s="126" t="n"/>
    </row>
    <row r="14" ht="18" customHeight="1" s="124">
      <c r="A14" s="194" t="inlineStr">
        <is>
          <t>名稱及規格</t>
        </is>
      </c>
      <c r="B14" s="137" t="n"/>
      <c r="C14" s="194" t="inlineStr">
        <is>
          <t>數量</t>
        </is>
      </c>
      <c r="D14" s="137" t="n"/>
      <c r="E14" s="194" t="inlineStr">
        <is>
          <t>單  價</t>
        </is>
      </c>
      <c r="F14" s="137" t="n"/>
      <c r="G14" s="194" t="inlineStr">
        <is>
          <t>金   額</t>
        </is>
      </c>
      <c r="H14" s="136" t="n"/>
      <c r="I14" s="137" t="n"/>
      <c r="J14" s="194" t="inlineStr">
        <is>
          <t>用  途  說  明</t>
        </is>
      </c>
      <c r="K14" s="136" t="n"/>
      <c r="L14" s="136" t="n"/>
      <c r="M14" s="137" t="n"/>
      <c r="O14" s="192" t="n"/>
      <c r="R14" s="193" t="n"/>
      <c r="T14" s="126" t="n"/>
      <c r="U14" s="126" t="n"/>
      <c r="V14" s="126" t="n"/>
    </row>
    <row r="15" ht="18" customHeight="1" s="124">
      <c r="A15" s="195" t="inlineStr">
        <is>
          <t>建置教室數位互動教學設備採購案(11007)履保金</t>
        </is>
      </c>
      <c r="B15" s="149" t="n"/>
      <c r="C15" s="196" t="n">
        <v>1</v>
      </c>
      <c r="D15" s="149" t="n"/>
      <c r="E15" s="197" t="n">
        <v>116000</v>
      </c>
      <c r="F15" s="143" t="n"/>
      <c r="G15" s="198">
        <f>ROUND(C15*E15,0)</f>
        <v/>
      </c>
      <c r="H15" s="148" t="n"/>
      <c r="I15" s="149" t="n"/>
      <c r="J15" s="199" t="inlineStr">
        <is>
          <t>建置教室數位互動教學設備採購案(11007)履保金</t>
        </is>
      </c>
      <c r="K15" s="148" t="n"/>
      <c r="L15" s="148" t="n"/>
      <c r="M15" s="149" t="n"/>
      <c r="O15" s="192" t="n"/>
      <c r="R15" s="193" t="n"/>
      <c r="T15" s="126" t="n"/>
      <c r="U15" s="126" t="n"/>
      <c r="V15" s="126" t="n"/>
    </row>
    <row r="16" ht="31.5" customHeight="1" s="124">
      <c r="A16" s="155" t="n"/>
      <c r="B16" s="157" t="n"/>
      <c r="C16" s="155" t="n"/>
      <c r="D16" s="157" t="n"/>
      <c r="E16" s="200" t="n"/>
      <c r="F16" s="153" t="n"/>
      <c r="G16" s="155" t="n"/>
      <c r="H16" s="156" t="n"/>
      <c r="I16" s="157" t="n"/>
      <c r="J16" s="201" t="n"/>
      <c r="K16" s="202" t="n"/>
      <c r="L16" s="202" t="n"/>
      <c r="M16" s="203" t="n"/>
      <c r="O16" s="192" t="n"/>
      <c r="R16" s="193" t="n"/>
      <c r="T16" s="126" t="n"/>
      <c r="U16" s="126" t="n"/>
      <c r="V16" s="126" t="n"/>
    </row>
    <row r="17" ht="18" customHeight="1" s="124">
      <c r="A17" s="195" t="n"/>
      <c r="B17" s="149" t="n"/>
      <c r="C17" s="196" t="n"/>
      <c r="D17" s="149" t="n"/>
      <c r="E17" s="51" t="n"/>
      <c r="F17" s="143" t="n"/>
      <c r="G17" s="198">
        <f>ROUND(C17*E17,0)</f>
        <v/>
      </c>
      <c r="H17" s="148" t="n"/>
      <c r="I17" s="149" t="n"/>
      <c r="J17" s="201" t="n"/>
      <c r="K17" s="202" t="n"/>
      <c r="L17" s="202" t="n"/>
      <c r="M17" s="203" t="n"/>
      <c r="O17" s="192" t="n"/>
      <c r="R17" s="193" t="n"/>
      <c r="T17" s="126" t="n"/>
      <c r="U17" s="126" t="n"/>
      <c r="V17" s="126" t="n"/>
    </row>
    <row r="18" ht="18" customHeight="1" s="124">
      <c r="A18" s="155" t="n"/>
      <c r="B18" s="157" t="n"/>
      <c r="C18" s="155" t="n"/>
      <c r="D18" s="157" t="n"/>
      <c r="E18" s="200" t="n"/>
      <c r="F18" s="153" t="n"/>
      <c r="G18" s="155" t="n"/>
      <c r="H18" s="156" t="n"/>
      <c r="I18" s="157" t="n"/>
      <c r="J18" s="155" t="n"/>
      <c r="K18" s="156" t="n"/>
      <c r="L18" s="156" t="n"/>
      <c r="M18" s="157" t="n"/>
      <c r="O18" s="192" t="n"/>
      <c r="R18" s="193" t="n"/>
    </row>
    <row r="19" ht="18" customHeight="1" s="124">
      <c r="A19" s="195" t="n"/>
      <c r="B19" s="149" t="n"/>
      <c r="C19" s="204" t="n"/>
      <c r="D19" s="149" t="n"/>
      <c r="E19" s="53" t="n"/>
      <c r="F19" s="143" t="n"/>
      <c r="G19" s="198">
        <f>ROUND(C19*E19,0)</f>
        <v/>
      </c>
      <c r="H19" s="148" t="n"/>
      <c r="I19" s="149" t="n"/>
      <c r="J19" s="194" t="inlineStr">
        <is>
          <t>零用金支付</t>
        </is>
      </c>
      <c r="K19" s="136" t="n"/>
      <c r="L19" s="136" t="n"/>
      <c r="M19" s="137" t="n"/>
      <c r="O19" s="192" t="n"/>
      <c r="R19" s="193" t="n"/>
    </row>
    <row r="20" ht="18" customHeight="1" s="124">
      <c r="A20" s="155" t="n"/>
      <c r="B20" s="157" t="n"/>
      <c r="C20" s="155" t="n"/>
      <c r="D20" s="157" t="n"/>
      <c r="E20" s="200" t="n"/>
      <c r="F20" s="153" t="n"/>
      <c r="G20" s="155" t="n"/>
      <c r="H20" s="156" t="n"/>
      <c r="I20" s="157" t="n"/>
      <c r="J20" s="198" t="n"/>
      <c r="K20" s="148" t="n"/>
      <c r="L20" s="148" t="n"/>
      <c r="M20" s="149" t="n"/>
      <c r="O20" s="175" t="n"/>
      <c r="P20" s="176" t="n"/>
      <c r="Q20" s="176" t="n"/>
      <c r="R20" s="177" t="n"/>
    </row>
    <row r="21" ht="18" customHeight="1" s="124">
      <c r="A21" s="195" t="n"/>
      <c r="B21" s="149" t="n"/>
      <c r="C21" s="204" t="n"/>
      <c r="D21" s="149" t="n"/>
      <c r="E21" s="53" t="n"/>
      <c r="F21" s="143" t="n"/>
      <c r="G21" s="198">
        <f>ROUND(C21*E21,0)</f>
        <v/>
      </c>
      <c r="H21" s="148" t="n"/>
      <c r="I21" s="149" t="n"/>
      <c r="J21" s="155" t="n"/>
      <c r="K21" s="156" t="n"/>
      <c r="L21" s="156" t="n"/>
      <c r="M21" s="157" t="n"/>
      <c r="O21" s="205" t="n"/>
      <c r="P21" s="205" t="n"/>
      <c r="Q21" s="205" t="n"/>
      <c r="R21" s="205" t="n"/>
    </row>
    <row r="22" ht="18" customHeight="1" s="124">
      <c r="A22" s="155" t="n"/>
      <c r="B22" s="157" t="n"/>
      <c r="C22" s="155" t="n"/>
      <c r="D22" s="157" t="n"/>
      <c r="E22" s="200" t="n"/>
      <c r="F22" s="153" t="n"/>
      <c r="G22" s="155" t="n"/>
      <c r="H22" s="156" t="n"/>
      <c r="I22" s="157" t="n"/>
      <c r="J22" s="206" t="inlineStr">
        <is>
          <t>總 務 處 簽 擬</t>
        </is>
      </c>
      <c r="K22" s="142" t="n"/>
      <c r="L22" s="142" t="n"/>
      <c r="M22" s="143" t="n"/>
      <c r="O22" s="184" t="inlineStr">
        <is>
          <t xml:space="preserve">附件：
□發票         張
□收據         張
 (並至財政部稅務入口網之
  營業登記資料公示查詢)
□動支經費請示單或核准
  辦理文件   張
□驗收報告     張
□合約書       份
□其他文件(需註明文件
  名稱、份數)
</t>
        </is>
      </c>
      <c r="P22" s="164" t="n"/>
      <c r="Q22" s="164" t="n"/>
      <c r="R22" s="165" t="n"/>
    </row>
    <row r="23" ht="20.1" customHeight="1" s="124">
      <c r="A23" s="207" t="n"/>
      <c r="B23" s="149" t="n"/>
      <c r="C23" s="204" t="n"/>
      <c r="D23" s="149" t="n"/>
      <c r="E23" s="53" t="n"/>
      <c r="F23" s="143" t="n"/>
      <c r="G23" s="198">
        <f>ROUND(C23*E23,0)</f>
        <v/>
      </c>
      <c r="H23" s="148" t="n"/>
      <c r="I23" s="149" t="n"/>
      <c r="J23" s="208" t="inlineStr">
        <is>
          <t>擬交</t>
        </is>
      </c>
      <c r="K23" s="142" t="n"/>
      <c r="L23" s="142" t="n"/>
      <c r="M23" s="143" t="n"/>
      <c r="O23" s="192" t="n"/>
      <c r="R23" s="193" t="n"/>
    </row>
    <row r="24" ht="20.1" customHeight="1" s="124">
      <c r="A24" s="155" t="n"/>
      <c r="B24" s="157" t="n"/>
      <c r="C24" s="155" t="n"/>
      <c r="D24" s="157" t="n"/>
      <c r="E24" s="200" t="n"/>
      <c r="F24" s="153" t="n"/>
      <c r="G24" s="155" t="n"/>
      <c r="H24" s="156" t="n"/>
      <c r="I24" s="157" t="n"/>
      <c r="J24" s="209" t="inlineStr">
        <is>
          <t>承辦</t>
        </is>
      </c>
      <c r="K24" s="126" t="n"/>
      <c r="L24" s="126" t="n"/>
      <c r="M24" s="210" t="n"/>
      <c r="O24" s="192" t="n"/>
      <c r="R24" s="193" t="n"/>
    </row>
    <row r="25" ht="18" customHeight="1" s="124">
      <c r="A25" s="211" t="n"/>
      <c r="B25" s="149" t="n"/>
      <c r="C25" s="204" t="n"/>
      <c r="D25" s="149" t="n"/>
      <c r="E25" s="53" t="n"/>
      <c r="F25" s="143" t="n"/>
      <c r="G25" s="198">
        <f>ROUND(C25*E25,0)</f>
        <v/>
      </c>
      <c r="H25" s="148" t="n"/>
      <c r="I25" s="149" t="n"/>
      <c r="J25" s="212" t="inlineStr">
        <is>
          <t>經辦人：</t>
        </is>
      </c>
      <c r="K25" s="126" t="n"/>
      <c r="L25" s="126" t="n"/>
      <c r="M25" s="210" t="n"/>
      <c r="O25" s="192" t="n"/>
      <c r="R25" s="193" t="n"/>
    </row>
    <row r="26" ht="18" customHeight="1" s="124">
      <c r="A26" s="155" t="n"/>
      <c r="B26" s="157" t="n"/>
      <c r="C26" s="155" t="n"/>
      <c r="D26" s="157" t="n"/>
      <c r="E26" s="200" t="n"/>
      <c r="F26" s="153" t="n"/>
      <c r="G26" s="155" t="n"/>
      <c r="H26" s="156" t="n"/>
      <c r="I26" s="157" t="n"/>
      <c r="J26" s="213" t="n"/>
      <c r="K26" s="126" t="n"/>
      <c r="L26" s="126" t="n"/>
      <c r="M26" s="210" t="n"/>
      <c r="O26" s="192" t="n"/>
      <c r="R26" s="193" t="n"/>
    </row>
    <row r="27" ht="18" customHeight="1" s="124">
      <c r="A27" s="211" t="n"/>
      <c r="B27" s="149" t="n"/>
      <c r="C27" s="204" t="n"/>
      <c r="D27" s="149" t="n"/>
      <c r="E27" s="53" t="n"/>
      <c r="F27" s="143" t="n"/>
      <c r="G27" s="198">
        <f>ROUND(C27*E27,0)</f>
        <v/>
      </c>
      <c r="H27" s="148" t="n"/>
      <c r="I27" s="149" t="n"/>
      <c r="J27" s="212" t="inlineStr">
        <is>
          <t>主  任：</t>
        </is>
      </c>
      <c r="K27" s="126" t="n"/>
      <c r="L27" s="126" t="n"/>
      <c r="M27" s="210" t="n"/>
      <c r="O27" s="192" t="n"/>
      <c r="R27" s="193" t="n"/>
    </row>
    <row r="28" ht="18" customHeight="1" s="124">
      <c r="A28" s="155" t="n"/>
      <c r="B28" s="157" t="n"/>
      <c r="C28" s="155" t="n"/>
      <c r="D28" s="157" t="n"/>
      <c r="E28" s="200" t="n"/>
      <c r="F28" s="153" t="n"/>
      <c r="G28" s="155" t="n"/>
      <c r="H28" s="156" t="n"/>
      <c r="I28" s="157" t="n"/>
      <c r="J28" s="213" t="n"/>
      <c r="K28" s="126" t="n"/>
      <c r="L28" s="126" t="n"/>
      <c r="M28" s="210" t="n"/>
      <c r="O28" s="192" t="n"/>
      <c r="R28" s="193" t="n"/>
    </row>
    <row r="29" ht="24.75" customHeight="1" s="124">
      <c r="A29" s="211" t="n"/>
      <c r="B29" s="149" t="n"/>
      <c r="C29" s="204" t="n"/>
      <c r="D29" s="149" t="n"/>
      <c r="E29" s="53" t="n"/>
      <c r="F29" s="143" t="n"/>
      <c r="G29" s="198">
        <f>ROUND(C29*E29,0)</f>
        <v/>
      </c>
      <c r="H29" s="148" t="n"/>
      <c r="I29" s="149" t="n"/>
      <c r="J29" s="214" t="inlineStr">
        <is>
          <t>預算數：</t>
        </is>
      </c>
      <c r="K29" s="142" t="n"/>
      <c r="L29" s="142" t="n"/>
      <c r="M29" s="143" t="n"/>
      <c r="O29" s="192" t="n"/>
      <c r="R29" s="193" t="n"/>
    </row>
    <row r="30" ht="24.75" customHeight="1" s="124">
      <c r="A30" s="155" t="n"/>
      <c r="B30" s="157" t="n"/>
      <c r="C30" s="155" t="n"/>
      <c r="D30" s="157" t="n"/>
      <c r="E30" s="200" t="n"/>
      <c r="F30" s="153" t="n"/>
      <c r="G30" s="155" t="n"/>
      <c r="H30" s="156" t="n"/>
      <c r="I30" s="157" t="n"/>
      <c r="J30" s="215" t="inlineStr">
        <is>
          <t>已支數：</t>
        </is>
      </c>
      <c r="K30" s="126" t="n"/>
      <c r="L30" s="126" t="n"/>
      <c r="M30" s="210" t="n"/>
      <c r="O30" s="192" t="n"/>
      <c r="R30" s="193" t="n"/>
    </row>
    <row r="31" ht="35.25" customHeight="1" s="124">
      <c r="A31" s="216" t="inlineStr">
        <is>
          <t>合     計</t>
        </is>
      </c>
      <c r="B31" s="136" t="n"/>
      <c r="C31" s="136" t="n"/>
      <c r="D31" s="136" t="n"/>
      <c r="E31" s="136" t="n"/>
      <c r="F31" s="137" t="n"/>
      <c r="G31" s="217">
        <f>SUM(G15:I30)</f>
        <v/>
      </c>
      <c r="H31" s="218" t="n"/>
      <c r="I31" s="219" t="n"/>
      <c r="J31" s="220" t="inlineStr">
        <is>
          <t>餘 額：</t>
        </is>
      </c>
      <c r="K31" s="129" t="n"/>
      <c r="L31" s="221">
        <f>IF(M29="","",M29-G31-M30)</f>
        <v/>
      </c>
      <c r="M31" s="153" t="n"/>
      <c r="O31" s="175" t="n"/>
      <c r="P31" s="176" t="n"/>
      <c r="Q31" s="176" t="n"/>
      <c r="R31" s="177" t="n"/>
    </row>
    <row r="32" ht="18" customHeight="1" s="124">
      <c r="A32" s="222" t="n"/>
      <c r="B32" s="222" t="n"/>
      <c r="C32" s="222" t="n"/>
      <c r="D32" s="222" t="n"/>
      <c r="E32" s="222" t="n"/>
      <c r="F32" s="222" t="n"/>
      <c r="G32" s="223" t="n"/>
      <c r="H32" s="223" t="n"/>
      <c r="I32" s="223" t="n"/>
      <c r="J32" s="224" t="n"/>
      <c r="K32" s="224" t="n"/>
      <c r="L32" s="225" t="n"/>
      <c r="M32" s="225" t="n"/>
      <c r="O32" s="226" t="n"/>
      <c r="P32" s="226" t="n"/>
      <c r="Q32" s="226" t="n"/>
      <c r="R32" s="226" t="n"/>
    </row>
    <row r="33" ht="21" customHeight="1" s="124">
      <c r="A33" s="194" t="inlineStr">
        <is>
          <t>申   請   單   位</t>
        </is>
      </c>
      <c r="B33" s="136" t="n"/>
      <c r="C33" s="136" t="n"/>
      <c r="D33" s="136" t="n"/>
      <c r="E33" s="137" t="n"/>
      <c r="F33" s="194" t="inlineStr">
        <is>
          <t>會   計   室</t>
        </is>
      </c>
      <c r="G33" s="136" t="n"/>
      <c r="H33" s="136" t="n"/>
      <c r="I33" s="136" t="n"/>
      <c r="J33" s="137" t="n"/>
      <c r="K33" s="194" t="inlineStr">
        <is>
          <t>校      長</t>
        </is>
      </c>
      <c r="L33" s="136" t="n"/>
      <c r="M33" s="136" t="n"/>
      <c r="N33" s="137" t="n"/>
      <c r="O33" s="131" t="n"/>
      <c r="P33" s="194" t="inlineStr">
        <is>
          <t>財產或物品登記訖</t>
        </is>
      </c>
      <c r="Q33" s="136" t="n"/>
      <c r="R33" s="137" t="n"/>
    </row>
    <row r="34" ht="35.1" customHeight="1" s="124">
      <c r="A34" s="194" t="inlineStr">
        <is>
          <t>經辦人</t>
        </is>
      </c>
      <c r="B34" s="194" t="n"/>
      <c r="C34" s="136" t="n"/>
      <c r="D34" s="136" t="n"/>
      <c r="E34" s="137" t="n"/>
      <c r="F34" s="140" t="n"/>
      <c r="G34" s="142" t="n"/>
      <c r="H34" s="142" t="n"/>
      <c r="I34" s="142" t="n"/>
      <c r="J34" s="143" t="n"/>
      <c r="K34" s="140" t="n"/>
      <c r="L34" s="142" t="n"/>
      <c r="M34" s="142" t="n"/>
      <c r="N34" s="143" t="n"/>
      <c r="O34" s="131" t="n"/>
      <c r="P34" s="227" t="inlineStr">
        <is>
          <t>□非消耗品
□財產</t>
        </is>
      </c>
      <c r="Q34" s="142" t="n"/>
      <c r="R34" s="143" t="n"/>
    </row>
    <row r="35" ht="35.1" customHeight="1" s="124">
      <c r="A35" s="194" t="inlineStr">
        <is>
          <t>單位主管</t>
        </is>
      </c>
      <c r="B35" s="194" t="n"/>
      <c r="C35" s="136" t="n"/>
      <c r="D35" s="136" t="n"/>
      <c r="E35" s="137" t="n"/>
      <c r="F35" s="200" t="n"/>
      <c r="G35" s="129" t="n"/>
      <c r="H35" s="129" t="n"/>
      <c r="I35" s="129" t="n"/>
      <c r="J35" s="153" t="n"/>
      <c r="K35" s="200" t="n"/>
      <c r="L35" s="129" t="n"/>
      <c r="M35" s="129" t="n"/>
      <c r="N35" s="153" t="n"/>
      <c r="O35" s="131" t="n"/>
      <c r="P35" s="200" t="n"/>
      <c r="Q35" s="129" t="n"/>
      <c r="R35" s="153" t="n"/>
    </row>
  </sheetData>
  <autoFilter ref="A1:R5"/>
  <mergeCells count="95">
    <mergeCell ref="B3:F3"/>
    <mergeCell ref="C23:D24"/>
    <mergeCell ref="A21:B22"/>
    <mergeCell ref="J27:M28"/>
    <mergeCell ref="A23:B24"/>
    <mergeCell ref="I8:K8"/>
    <mergeCell ref="J20:M21"/>
    <mergeCell ref="F33:J33"/>
    <mergeCell ref="G17:I18"/>
    <mergeCell ref="K33:N33"/>
    <mergeCell ref="P34:R35"/>
    <mergeCell ref="J19:M19"/>
    <mergeCell ref="G19:I20"/>
    <mergeCell ref="J25:M26"/>
    <mergeCell ref="A31:F31"/>
    <mergeCell ref="J30:M30"/>
    <mergeCell ref="J31:K31"/>
    <mergeCell ref="L31:M31"/>
    <mergeCell ref="K34:N35"/>
    <mergeCell ref="E29:F30"/>
    <mergeCell ref="A9:B9"/>
    <mergeCell ref="D8:F9"/>
    <mergeCell ref="A25:B26"/>
    <mergeCell ref="C25:D26"/>
    <mergeCell ref="C21:D22"/>
    <mergeCell ref="E15:F16"/>
    <mergeCell ref="C14:D14"/>
    <mergeCell ref="E14:F14"/>
    <mergeCell ref="G21:I22"/>
    <mergeCell ref="J15:M18"/>
    <mergeCell ref="J23:M23"/>
    <mergeCell ref="B2:C2"/>
    <mergeCell ref="G14:I14"/>
    <mergeCell ref="L8:O9"/>
    <mergeCell ref="G7:H7"/>
    <mergeCell ref="B35:E35"/>
    <mergeCell ref="P2:Q2"/>
    <mergeCell ref="G23:I24"/>
    <mergeCell ref="P3:R3"/>
    <mergeCell ref="A10:R10"/>
    <mergeCell ref="F34:J35"/>
    <mergeCell ref="T3:V3"/>
    <mergeCell ref="A8:B8"/>
    <mergeCell ref="G8:H9"/>
    <mergeCell ref="E17:F18"/>
    <mergeCell ref="B5:F5"/>
    <mergeCell ref="E19:F20"/>
    <mergeCell ref="A1:R1"/>
    <mergeCell ref="A7:C7"/>
    <mergeCell ref="B4:F4"/>
    <mergeCell ref="G25:I26"/>
    <mergeCell ref="J22:M22"/>
    <mergeCell ref="B13:D13"/>
    <mergeCell ref="G27:I28"/>
    <mergeCell ref="T12:V12"/>
    <mergeCell ref="D7:F7"/>
    <mergeCell ref="P7:R7"/>
    <mergeCell ref="C27:D28"/>
    <mergeCell ref="F13:H13"/>
    <mergeCell ref="A29:B30"/>
    <mergeCell ref="L7:O7"/>
    <mergeCell ref="E21:F22"/>
    <mergeCell ref="P33:R33"/>
    <mergeCell ref="A15:B16"/>
    <mergeCell ref="A4:A5"/>
    <mergeCell ref="C15:D16"/>
    <mergeCell ref="G31:I31"/>
    <mergeCell ref="A14:B14"/>
    <mergeCell ref="J24:M24"/>
    <mergeCell ref="T8:V9"/>
    <mergeCell ref="G15:I16"/>
    <mergeCell ref="C29:D30"/>
    <mergeCell ref="E23:F24"/>
    <mergeCell ref="A12:M12"/>
    <mergeCell ref="B34:E34"/>
    <mergeCell ref="A27:B28"/>
    <mergeCell ref="I7:K7"/>
    <mergeCell ref="E27:F28"/>
    <mergeCell ref="G3:O3"/>
    <mergeCell ref="A17:B18"/>
    <mergeCell ref="P4:R5"/>
    <mergeCell ref="C17:D18"/>
    <mergeCell ref="A19:B20"/>
    <mergeCell ref="O12:R20"/>
    <mergeCell ref="C19:D20"/>
    <mergeCell ref="T4:V5"/>
    <mergeCell ref="J14:M14"/>
    <mergeCell ref="J29:M29"/>
    <mergeCell ref="E25:F26"/>
    <mergeCell ref="I9:K9"/>
    <mergeCell ref="A33:E33"/>
    <mergeCell ref="T13:V17"/>
    <mergeCell ref="P8:R9"/>
    <mergeCell ref="O22:R31"/>
    <mergeCell ref="G29:I30"/>
  </mergeCells>
  <dataValidations count="3">
    <dataValidation sqref="B13:C13" showDropDown="0" showInputMessage="0" showErrorMessage="1" allowBlank="1" type="list" errorStyle="stop" operator="between">
      <formula1>單位別</formula1>
      <formula2>0</formula2>
    </dataValidation>
    <dataValidation sqref="B4:F4" showDropDown="0" showInputMessage="1" showErrorMessage="1" allowBlank="1" prompt="一級科目" type="list" errorStyle="stop" operator="between">
      <formula1>一級科目</formula1>
      <formula2>0</formula2>
    </dataValidation>
    <dataValidation sqref="B5" showDropDown="0" showInputMessage="1" showErrorMessage="1" allowBlank="1" prompt="二級科目" type="list" errorStyle="stop" operator="between">
      <formula1>INDIRECT($B$4)</formula1>
      <formula2>0</formula2>
    </dataValidation>
  </dataValidations>
  <printOptions horizontalCentered="1" verticalCentered="1" headings="0" gridLines="0" gridLinesSet="1"/>
  <pageMargins left="0.39375" right="0.39375" top="0.433333333333333" bottom="0.433333333333333"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V35"/>
  <sheetViews>
    <sheetView showFormulas="0" showGridLines="1" showRowColHeaders="1" showZeros="0" rightToLeft="0" tabSelected="0" showOutlineSymbols="1" defaultGridColor="1" view="normal" topLeftCell="A1" colorId="64" zoomScale="100" zoomScaleNormal="100" zoomScalePageLayoutView="100" workbookViewId="0">
      <selection pane="topLeft" activeCell="B4" activeCellId="0" sqref="B4:F4"/>
    </sheetView>
  </sheetViews>
  <sheetFormatPr baseColWidth="8" defaultColWidth="8.89453125" defaultRowHeight="16.5" zeroHeight="0" outlineLevelRow="0"/>
  <cols>
    <col width="12.36" customWidth="1" style="123" min="1" max="1"/>
    <col width="5.86" customWidth="1" style="123" min="2" max="2"/>
    <col width="3.62" customWidth="1" style="123" min="3" max="4"/>
    <col width="6.87" customWidth="1" style="123" min="5" max="5"/>
    <col width="5.62" customWidth="1" style="123" min="6" max="6"/>
    <col width="8.74" customWidth="1" style="123" min="7" max="7"/>
    <col width="5.62" customWidth="1" style="123" min="8" max="8"/>
    <col width="5.24" customWidth="1" style="123" min="9" max="10"/>
    <col width="4.62" customWidth="1" style="123" min="11" max="13"/>
    <col width="5.12" customWidth="1" style="123" min="14" max="14"/>
    <col width="6.36" customWidth="1" style="123" min="15" max="15"/>
    <col width="6.24" customWidth="1" style="123" min="16" max="16"/>
    <col width="9.119999999999999" customWidth="1" style="123" min="17" max="17"/>
    <col width="11.36" customWidth="1" style="123" min="21" max="21"/>
  </cols>
  <sheetData>
    <row r="1" ht="27.75" customHeight="1" s="124">
      <c r="A1" s="125" t="inlineStr">
        <is>
          <t>桃園市龍潭區石門國民小學粘貼憑證用紙</t>
        </is>
      </c>
      <c r="B1" s="126" t="n"/>
      <c r="C1" s="126" t="n"/>
      <c r="D1" s="126" t="n"/>
      <c r="E1" s="126" t="n"/>
      <c r="F1" s="126" t="n"/>
      <c r="G1" s="126" t="n"/>
      <c r="H1" s="126" t="n"/>
      <c r="I1" s="126" t="n"/>
      <c r="J1" s="126" t="n"/>
      <c r="K1" s="126" t="n"/>
      <c r="L1" s="126" t="n"/>
      <c r="M1" s="126" t="n"/>
      <c r="N1" s="126" t="n"/>
      <c r="O1" s="126" t="n"/>
      <c r="P1" s="126" t="n"/>
      <c r="Q1" s="126" t="n"/>
    </row>
    <row r="2" ht="17.25" customHeight="1" s="124">
      <c r="A2" s="133" t="inlineStr">
        <is>
          <t>所屬年度:</t>
        </is>
      </c>
      <c r="B2" s="228" t="n">
        <v>113</v>
      </c>
      <c r="C2" s="129" t="n"/>
      <c r="D2" s="130" t="n"/>
      <c r="E2" s="131" t="n"/>
      <c r="F2" s="131" t="n"/>
      <c r="G2" s="131" t="n"/>
      <c r="H2" s="131" t="n"/>
      <c r="I2" s="131" t="n"/>
      <c r="J2" s="131" t="n"/>
      <c r="K2" s="131" t="n"/>
      <c r="L2" s="131" t="n"/>
      <c r="M2" s="131" t="n"/>
      <c r="N2" s="131" t="n"/>
      <c r="O2" s="132" t="inlineStr">
        <is>
          <t>簽證</t>
        </is>
      </c>
      <c r="P2" s="129" t="n"/>
      <c r="Q2" s="133" t="inlineStr">
        <is>
          <t xml:space="preserve">   號</t>
        </is>
      </c>
    </row>
    <row r="3" ht="17.25" customHeight="1" s="124">
      <c r="A3" s="138" t="inlineStr">
        <is>
          <t>憑證編號</t>
        </is>
      </c>
      <c r="B3" s="136" t="n"/>
      <c r="C3" s="137" t="n"/>
      <c r="D3" s="138" t="inlineStr">
        <is>
          <t>預 算 科 目</t>
        </is>
      </c>
      <c r="E3" s="136" t="n"/>
      <c r="F3" s="137" t="n"/>
      <c r="G3" s="138" t="inlineStr">
        <is>
          <t>金         額</t>
        </is>
      </c>
      <c r="H3" s="136" t="n"/>
      <c r="I3" s="136" t="n"/>
      <c r="J3" s="136" t="n"/>
      <c r="K3" s="136" t="n"/>
      <c r="L3" s="136" t="n"/>
      <c r="M3" s="136" t="n"/>
      <c r="N3" s="137" t="n"/>
      <c r="O3" s="138" t="inlineStr">
        <is>
          <t>用  途  說  明</t>
        </is>
      </c>
      <c r="P3" s="136" t="n"/>
      <c r="Q3" s="137" t="n"/>
      <c r="S3" s="139" t="inlineStr">
        <is>
          <t>說明</t>
        </is>
      </c>
    </row>
    <row r="4" ht="38.25" customHeight="1" s="124">
      <c r="A4" s="140" t="n"/>
      <c r="B4" s="229" t="inlineStr">
        <is>
          <t>材料及用品費</t>
        </is>
      </c>
      <c r="C4" s="142" t="n"/>
      <c r="D4" s="142" t="n"/>
      <c r="E4" s="142" t="n"/>
      <c r="F4" s="143" t="n"/>
      <c r="G4" s="230" t="inlineStr">
        <is>
          <t>千
萬</t>
        </is>
      </c>
      <c r="H4" s="146" t="inlineStr">
        <is>
          <t>百
萬</t>
        </is>
      </c>
      <c r="I4" s="146" t="inlineStr">
        <is>
          <t>十
萬</t>
        </is>
      </c>
      <c r="J4" s="146" t="inlineStr">
        <is>
          <t>萬</t>
        </is>
      </c>
      <c r="K4" s="146" t="inlineStr">
        <is>
          <t>千</t>
        </is>
      </c>
      <c r="L4" s="146" t="inlineStr">
        <is>
          <t>百</t>
        </is>
      </c>
      <c r="M4" s="146" t="inlineStr">
        <is>
          <t>十</t>
        </is>
      </c>
      <c r="N4" s="146" t="inlineStr">
        <is>
          <t>元</t>
        </is>
      </c>
      <c r="O4" s="231">
        <f>I15</f>
        <v/>
      </c>
      <c r="P4" s="148" t="n"/>
      <c r="Q4" s="149" t="n"/>
      <c r="S4" s="150" t="inlineStr">
        <is>
          <t xml:space="preserve">1.【金額】及【用途說明】為自動帶入，無須填寫。
2.【預算科目】為下拉式選單。
</t>
        </is>
      </c>
      <c r="T4" s="126" t="n"/>
      <c r="U4" s="126" t="n"/>
    </row>
    <row r="5" ht="52.5" customHeight="1" s="124">
      <c r="A5" s="151" t="n"/>
      <c r="B5" s="232" t="inlineStr">
        <is>
          <t>255機械及設備修護費</t>
        </is>
      </c>
      <c r="C5" s="129" t="n"/>
      <c r="D5" s="129" t="n"/>
      <c r="E5" s="129" t="n"/>
      <c r="F5" s="153" t="n"/>
      <c r="G5" s="233">
        <f>IF(LEN($G$31)&lt;8,IF($G$31=0,0,"－"),MID($G$31,LEN($G$31)-7,1))</f>
        <v/>
      </c>
      <c r="H5" s="233">
        <f>IF(LEN($G$31)&lt;7,IF($G$31=0,0,"－"),MID($G$31,LEN($G$31)-6,1))</f>
        <v/>
      </c>
      <c r="I5" s="233">
        <f>IF(LEN($G$31)&lt;6,IF($G$31=0,0,"－"),MID($G$31,LEN($G$31)-5,1))</f>
        <v/>
      </c>
      <c r="J5" s="233">
        <f>IF(LEN($G$31)&lt;5,IF($G$31=0,0,"－"),MID($G$31,LEN($G$31)-4,1))</f>
        <v/>
      </c>
      <c r="K5" s="233">
        <f>IF(LEN($G$31)&lt;4,IF($G$31=0,0,"－"),MID($G$31,LEN($G$31)-3,1))</f>
        <v/>
      </c>
      <c r="L5" s="233">
        <f>IF(LEN($G$31)&lt;3,IF($G$31=0,0,"－"),MID($G$31,LEN($G$31)-2,1))</f>
        <v/>
      </c>
      <c r="M5" s="233">
        <f>IF(LEN($G$31)&lt;2,IF($G$31=0,0,"－"),MID($G$31,LEN($G$31)-1,1))</f>
        <v/>
      </c>
      <c r="N5" s="233">
        <f>IF(LEN($G$31)&lt;1,IF($G$31=0,"","－"),MID($G$31,LEN($G$31),1))</f>
        <v/>
      </c>
      <c r="O5" s="155" t="n"/>
      <c r="P5" s="156" t="n"/>
      <c r="Q5" s="157" t="n"/>
      <c r="S5" s="126" t="n"/>
      <c r="T5" s="126" t="n"/>
      <c r="U5" s="126" t="n"/>
    </row>
    <row r="6" ht="12" customHeight="1" s="124">
      <c r="P6" s="158" t="n"/>
      <c r="Q6" s="158" t="n"/>
      <c r="S6" s="159" t="n"/>
      <c r="T6" s="159" t="n"/>
      <c r="U6" s="159" t="n"/>
    </row>
    <row r="7" ht="33" customHeight="1" s="124">
      <c r="A7" s="160" t="inlineStr">
        <is>
          <t>經辦單位</t>
        </is>
      </c>
      <c r="B7" s="162" t="n"/>
      <c r="C7" s="160" t="inlineStr">
        <is>
          <t>驗收或證明、保管</t>
        </is>
      </c>
      <c r="D7" s="161" t="n"/>
      <c r="E7" s="162" t="n"/>
      <c r="F7" s="160" t="inlineStr">
        <is>
          <t>總務處</t>
        </is>
      </c>
      <c r="G7" s="162" t="n"/>
      <c r="H7" s="160" t="inlineStr">
        <is>
          <t>登記(所得、物品、財產)</t>
        </is>
      </c>
      <c r="I7" s="161" t="n"/>
      <c r="J7" s="162" t="n"/>
      <c r="K7" s="233" t="inlineStr">
        <is>
          <t>會計單位</t>
        </is>
      </c>
      <c r="L7" s="161" t="n"/>
      <c r="M7" s="161" t="n"/>
      <c r="N7" s="162" t="n"/>
      <c r="O7" s="160" t="inlineStr">
        <is>
          <t>機關長官或
授權代簽人</t>
        </is>
      </c>
      <c r="P7" s="161" t="n"/>
      <c r="Q7" s="162" t="n"/>
      <c r="S7" s="173" t="inlineStr">
        <is>
          <t xml:space="preserve">1.經辦單位請承辦人及處室主管章，處室主管在虛線處章。
2.登記(所得、物品、財產 )請書寫物品、財產帳編號。
3.採購案請會辦總務處核章。      </t>
        </is>
      </c>
      <c r="T7" s="126" t="n"/>
      <c r="U7" s="126" t="n"/>
    </row>
    <row r="8" ht="52.15" customHeight="1" s="124">
      <c r="A8" s="234" t="inlineStr">
        <is>
          <t>經辦人</t>
        </is>
      </c>
      <c r="B8" s="162" t="n"/>
      <c r="C8" s="235" t="n"/>
      <c r="D8" s="164" t="n"/>
      <c r="E8" s="165" t="n"/>
      <c r="F8" s="169" t="n"/>
      <c r="G8" s="165" t="n"/>
      <c r="H8" s="234" t="inlineStr">
        <is>
          <t>所得</t>
        </is>
      </c>
      <c r="I8" s="161" t="n"/>
      <c r="J8" s="162" t="n"/>
      <c r="K8" s="171" t="n"/>
      <c r="L8" s="148" t="n"/>
      <c r="M8" s="148" t="n"/>
      <c r="N8" s="149" t="n"/>
      <c r="O8" s="172" t="n"/>
      <c r="P8" s="148" t="n"/>
      <c r="Q8" s="149" t="n"/>
      <c r="S8" s="126" t="n"/>
      <c r="T8" s="126" t="n"/>
      <c r="U8" s="126" t="n"/>
    </row>
    <row r="9" ht="58.9" customHeight="1" s="124">
      <c r="A9" s="234" t="inlineStr">
        <is>
          <t>經辦主管</t>
        </is>
      </c>
      <c r="B9" s="162" t="n"/>
      <c r="C9" s="175" t="n"/>
      <c r="D9" s="176" t="n"/>
      <c r="E9" s="177" t="n"/>
      <c r="F9" s="175" t="n"/>
      <c r="G9" s="177" t="n"/>
      <c r="H9" s="236" t="inlineStr">
        <is>
          <t>物品、財產</t>
        </is>
      </c>
      <c r="I9" s="237" t="n"/>
      <c r="J9" s="238" t="n"/>
      <c r="K9" s="178" t="n"/>
      <c r="L9" s="179" t="n"/>
      <c r="M9" s="179" t="n"/>
      <c r="N9" s="180" t="n"/>
      <c r="O9" s="178" t="n"/>
      <c r="P9" s="179" t="n"/>
      <c r="Q9" s="180" t="n"/>
      <c r="S9" s="126" t="n"/>
      <c r="T9" s="126" t="n"/>
      <c r="U9" s="126" t="n"/>
    </row>
    <row r="10" ht="39.95" customHeight="1" s="124">
      <c r="A10" s="239" t="inlineStr">
        <is>
          <t>（    憑       證       黏       貼       線    ）</t>
        </is>
      </c>
    </row>
    <row r="12" ht="21" customHeight="1" s="124">
      <c r="A12" s="183" t="inlineStr">
        <is>
          <t>動 支 經 費 請 示 單</t>
        </is>
      </c>
      <c r="B12" s="142" t="n"/>
      <c r="C12" s="142" t="n"/>
      <c r="D12" s="142" t="n"/>
      <c r="E12" s="142" t="n"/>
      <c r="F12" s="142" t="n"/>
      <c r="G12" s="142" t="n"/>
      <c r="H12" s="142" t="n"/>
      <c r="I12" s="142" t="n"/>
      <c r="J12" s="142" t="n"/>
      <c r="K12" s="142" t="n"/>
      <c r="L12" s="143" t="n"/>
      <c r="N12" s="240" t="inlineStr">
        <is>
          <t>□受款人
  □發票(或收據)開立廠商
  □詳如受款人清單
  □　　　　墊付
 □扣抵罰賠款     元
 □轉保固金       元
 □代扣稅款      元
 □其他(請列舉並標示金額)</t>
        </is>
      </c>
      <c r="O12" s="164" t="n"/>
      <c r="P12" s="164" t="n"/>
      <c r="Q12" s="165" t="n"/>
      <c r="S12" s="139" t="inlineStr">
        <is>
          <t>說明</t>
        </is>
      </c>
      <c r="V12" s="131" t="n"/>
    </row>
    <row r="13" ht="19.5" customHeight="1" s="124">
      <c r="A13" s="185" t="inlineStr">
        <is>
          <t xml:space="preserve">單位別：      </t>
        </is>
      </c>
      <c r="B13" s="186" t="inlineStr">
        <is>
          <t xml:space="preserve">教務處 </t>
        </is>
      </c>
      <c r="C13" s="129" t="n"/>
      <c r="D13" s="129" t="n"/>
      <c r="E13" s="187" t="n"/>
      <c r="F13" s="188">
        <f>YEAR(TODAY())-1911</f>
        <v/>
      </c>
      <c r="G13" s="129" t="n"/>
      <c r="H13" s="241" t="inlineStr">
        <is>
          <t>年</t>
        </is>
      </c>
      <c r="I13" s="190" t="n">
        <v>1</v>
      </c>
      <c r="J13" s="190" t="inlineStr">
        <is>
          <t>月</t>
        </is>
      </c>
      <c r="K13" s="190" t="n">
        <v>14</v>
      </c>
      <c r="L13" s="191" t="inlineStr">
        <is>
          <t>日</t>
        </is>
      </c>
      <c r="N13" s="192" t="n"/>
      <c r="Q13" s="193" t="n"/>
      <c r="S13" s="150" t="inlineStr">
        <is>
          <t>1.【單位別】為下拉式選單。
2.數量、單價欄位填入後會自動代出金額、合計。
3.【用途說明】欄位填入後，會自動帶入上方對應欄位。</t>
        </is>
      </c>
      <c r="T13" s="126" t="n"/>
      <c r="U13" s="126" t="n"/>
    </row>
    <row r="14" ht="18" customHeight="1" s="124">
      <c r="A14" s="194" t="inlineStr">
        <is>
          <t>名 稱 及 規 格</t>
        </is>
      </c>
      <c r="B14" s="137" t="n"/>
      <c r="C14" s="194" t="inlineStr">
        <is>
          <t>數量</t>
        </is>
      </c>
      <c r="D14" s="137" t="n"/>
      <c r="E14" s="194" t="inlineStr">
        <is>
          <t>單  價</t>
        </is>
      </c>
      <c r="F14" s="137" t="n"/>
      <c r="G14" s="242" t="inlineStr">
        <is>
          <t>金   額</t>
        </is>
      </c>
      <c r="H14" s="153" t="n"/>
      <c r="I14" s="242" t="inlineStr">
        <is>
          <t>用  途  說  明</t>
        </is>
      </c>
      <c r="J14" s="129" t="n"/>
      <c r="K14" s="129" t="n"/>
      <c r="L14" s="153" t="n"/>
      <c r="N14" s="192" t="n"/>
      <c r="Q14" s="193" t="n"/>
      <c r="S14" s="126" t="n"/>
      <c r="T14" s="126" t="n"/>
      <c r="U14" s="126" t="n"/>
    </row>
    <row r="15" ht="31.9" customHeight="1" s="124">
      <c r="A15" s="243" t="inlineStr">
        <is>
          <t>【Kingston 金士頓】KC600 SATA-3 256GB SSD 固態硬碟(★SKC600/256G)</t>
        </is>
      </c>
      <c r="B15" s="149" t="n"/>
      <c r="C15" s="204" t="n">
        <v>1</v>
      </c>
      <c r="D15" s="149" t="n"/>
      <c r="E15" s="53" t="n">
        <v>780</v>
      </c>
      <c r="F15" s="143" t="n"/>
      <c r="G15" s="246">
        <f>ROUND(C15*E15,0)</f>
        <v/>
      </c>
      <c r="H15" s="149" t="n"/>
      <c r="I15" s="245" t="inlineStr">
        <is>
          <t>行政人員電腦備份移機專用快速開機硬碟</t>
        </is>
      </c>
      <c r="J15" s="148" t="n"/>
      <c r="K15" s="148" t="n"/>
      <c r="L15" s="149" t="n"/>
      <c r="N15" s="192" t="n"/>
      <c r="Q15" s="193" t="n"/>
      <c r="S15" s="126" t="n"/>
      <c r="T15" s="126" t="n"/>
      <c r="U15" s="126" t="n"/>
    </row>
    <row r="16" ht="46.9" customHeight="1" s="124">
      <c r="A16" s="155" t="n"/>
      <c r="B16" s="157" t="n"/>
      <c r="C16" s="155" t="n"/>
      <c r="D16" s="157" t="n"/>
      <c r="E16" s="200" t="n"/>
      <c r="F16" s="153" t="n"/>
      <c r="G16" s="155" t="n"/>
      <c r="H16" s="157" t="n"/>
      <c r="I16" s="201" t="n"/>
      <c r="J16" s="202" t="n"/>
      <c r="K16" s="202" t="n"/>
      <c r="L16" s="203" t="n"/>
      <c r="N16" s="192" t="n"/>
      <c r="Q16" s="193" t="n"/>
      <c r="S16" s="126" t="n"/>
      <c r="T16" s="126" t="n"/>
      <c r="U16" s="126" t="n"/>
    </row>
    <row r="17" ht="18" customHeight="1" s="124">
      <c r="A17" s="211" t="n"/>
      <c r="B17" s="149" t="n"/>
      <c r="C17" s="204" t="n"/>
      <c r="D17" s="149" t="n"/>
      <c r="E17" s="53" t="n"/>
      <c r="F17" s="143" t="n"/>
      <c r="G17" s="246">
        <f>ROUND(C17*E17,0)</f>
        <v/>
      </c>
      <c r="H17" s="149" t="n"/>
      <c r="I17" s="201" t="n"/>
      <c r="J17" s="202" t="n"/>
      <c r="K17" s="202" t="n"/>
      <c r="L17" s="203" t="n"/>
      <c r="N17" s="192" t="n"/>
      <c r="Q17" s="193" t="n"/>
      <c r="S17" s="126" t="n"/>
      <c r="T17" s="126" t="n"/>
      <c r="U17" s="126" t="n"/>
    </row>
    <row r="18" ht="13.15" customHeight="1" s="124">
      <c r="A18" s="155" t="n"/>
      <c r="B18" s="157" t="n"/>
      <c r="C18" s="155" t="n"/>
      <c r="D18" s="157" t="n"/>
      <c r="E18" s="200" t="n"/>
      <c r="F18" s="153" t="n"/>
      <c r="G18" s="155" t="n"/>
      <c r="H18" s="157" t="n"/>
      <c r="I18" s="155" t="n"/>
      <c r="J18" s="156" t="n"/>
      <c r="K18" s="156" t="n"/>
      <c r="L18" s="157" t="n"/>
      <c r="N18" s="192" t="n"/>
      <c r="Q18" s="193" t="n"/>
    </row>
    <row r="19" ht="18" customHeight="1" s="124">
      <c r="A19" s="211" t="n"/>
      <c r="B19" s="149" t="n"/>
      <c r="C19" s="204" t="n"/>
      <c r="D19" s="149" t="n"/>
      <c r="E19" s="53" t="n"/>
      <c r="F19" s="143" t="n"/>
      <c r="G19" s="246">
        <f>ROUND(C19*E19,0)</f>
        <v/>
      </c>
      <c r="H19" s="149" t="n"/>
      <c r="I19" s="194" t="inlineStr">
        <is>
          <t>零用金支付</t>
        </is>
      </c>
      <c r="J19" s="136" t="n"/>
      <c r="K19" s="136" t="n"/>
      <c r="L19" s="137" t="n"/>
      <c r="N19" s="192" t="n"/>
      <c r="Q19" s="193" t="n"/>
    </row>
    <row r="20" ht="18" customHeight="1" s="124">
      <c r="A20" s="155" t="n"/>
      <c r="B20" s="157" t="n"/>
      <c r="C20" s="155" t="n"/>
      <c r="D20" s="157" t="n"/>
      <c r="E20" s="200" t="n"/>
      <c r="F20" s="153" t="n"/>
      <c r="G20" s="155" t="n"/>
      <c r="H20" s="157" t="n"/>
      <c r="I20" s="198" t="n"/>
      <c r="J20" s="148" t="n"/>
      <c r="K20" s="148" t="n"/>
      <c r="L20" s="149" t="n"/>
      <c r="N20" s="175" t="n"/>
      <c r="O20" s="176" t="n"/>
      <c r="P20" s="176" t="n"/>
      <c r="Q20" s="177" t="n"/>
    </row>
    <row r="21" ht="18" customHeight="1" s="124">
      <c r="A21" s="211" t="n"/>
      <c r="B21" s="149" t="n"/>
      <c r="C21" s="204" t="n"/>
      <c r="D21" s="149" t="n"/>
      <c r="E21" s="53" t="n"/>
      <c r="F21" s="143" t="n"/>
      <c r="G21" s="246">
        <f>ROUND(C21*E21,0)</f>
        <v/>
      </c>
      <c r="H21" s="149" t="n"/>
      <c r="I21" s="155" t="n"/>
      <c r="J21" s="156" t="n"/>
      <c r="K21" s="156" t="n"/>
      <c r="L21" s="157" t="n"/>
      <c r="N21" s="205" t="n"/>
      <c r="O21" s="205" t="n"/>
      <c r="P21" s="205" t="n"/>
      <c r="Q21" s="205" t="n"/>
    </row>
    <row r="22" ht="18" customHeight="1" s="124">
      <c r="A22" s="155" t="n"/>
      <c r="B22" s="157" t="n"/>
      <c r="C22" s="155" t="n"/>
      <c r="D22" s="157" t="n"/>
      <c r="E22" s="200" t="n"/>
      <c r="F22" s="153" t="n"/>
      <c r="G22" s="155" t="n"/>
      <c r="H22" s="157" t="n"/>
      <c r="I22" s="206" t="inlineStr">
        <is>
          <t>總 務 處 簽 擬</t>
        </is>
      </c>
      <c r="J22" s="142" t="n"/>
      <c r="K22" s="142" t="n"/>
      <c r="L22" s="143" t="n"/>
      <c r="N22" s="184" t="inlineStr">
        <is>
          <t xml:space="preserve">附件：
□發票　　　　　張
□收據　　　　　張
 (並至財政部稅務入口網之
  營業登記資料公示查詢)
□動支經費請示單或核准
  辦理文件   張
□驗收報告     張
□合約書       份
□其他文件(需註明文件
  名稱、份數)
</t>
        </is>
      </c>
      <c r="O22" s="164" t="n"/>
      <c r="P22" s="164" t="n"/>
      <c r="Q22" s="165" t="n"/>
    </row>
    <row r="23" ht="20.1" customHeight="1" s="124">
      <c r="A23" s="211" t="n"/>
      <c r="B23" s="149" t="n"/>
      <c r="C23" s="204" t="n"/>
      <c r="D23" s="149" t="n"/>
      <c r="E23" s="247" t="n"/>
      <c r="F23" s="143" t="n"/>
      <c r="G23" s="246">
        <f>ROUND(C23*E23,0)</f>
        <v/>
      </c>
      <c r="H23" s="149" t="n"/>
      <c r="I23" s="208" t="inlineStr">
        <is>
          <t>擬交</t>
        </is>
      </c>
      <c r="J23" s="142" t="n"/>
      <c r="K23" s="142" t="n"/>
      <c r="L23" s="143" t="n"/>
      <c r="N23" s="192" t="n"/>
      <c r="Q23" s="193" t="n"/>
    </row>
    <row r="24" ht="20.1" customHeight="1" s="124">
      <c r="A24" s="155" t="n"/>
      <c r="B24" s="157" t="n"/>
      <c r="C24" s="155" t="n"/>
      <c r="D24" s="157" t="n"/>
      <c r="E24" s="200" t="n"/>
      <c r="F24" s="153" t="n"/>
      <c r="G24" s="155" t="n"/>
      <c r="H24" s="157" t="n"/>
      <c r="I24" s="209" t="inlineStr">
        <is>
          <t>承辦</t>
        </is>
      </c>
      <c r="J24" s="126" t="n"/>
      <c r="K24" s="126" t="n"/>
      <c r="L24" s="210" t="n"/>
      <c r="N24" s="192" t="n"/>
      <c r="Q24" s="193" t="n"/>
    </row>
    <row r="25" ht="18" customHeight="1" s="124">
      <c r="A25" s="211" t="n"/>
      <c r="B25" s="149" t="n"/>
      <c r="C25" s="204" t="n"/>
      <c r="D25" s="149" t="n"/>
      <c r="E25" s="247" t="n"/>
      <c r="F25" s="143" t="n"/>
      <c r="G25" s="246">
        <f>ROUND(C25*E25,0)</f>
        <v/>
      </c>
      <c r="H25" s="149" t="n"/>
      <c r="I25" s="212" t="inlineStr">
        <is>
          <t>經辦人：</t>
        </is>
      </c>
      <c r="J25" s="126" t="n"/>
      <c r="K25" s="126" t="n"/>
      <c r="L25" s="210" t="n"/>
      <c r="N25" s="192" t="n"/>
      <c r="Q25" s="193" t="n"/>
    </row>
    <row r="26" ht="18" customHeight="1" s="124">
      <c r="A26" s="155" t="n"/>
      <c r="B26" s="157" t="n"/>
      <c r="C26" s="155" t="n"/>
      <c r="D26" s="157" t="n"/>
      <c r="E26" s="200" t="n"/>
      <c r="F26" s="153" t="n"/>
      <c r="G26" s="155" t="n"/>
      <c r="H26" s="157" t="n"/>
      <c r="I26" s="213" t="n"/>
      <c r="J26" s="126" t="n"/>
      <c r="K26" s="126" t="n"/>
      <c r="L26" s="210" t="n"/>
      <c r="N26" s="192" t="n"/>
      <c r="Q26" s="193" t="n"/>
    </row>
    <row r="27" ht="18" customHeight="1" s="124">
      <c r="A27" s="211" t="n"/>
      <c r="B27" s="149" t="n"/>
      <c r="C27" s="204" t="n"/>
      <c r="D27" s="149" t="n"/>
      <c r="E27" s="247" t="n"/>
      <c r="F27" s="143" t="n"/>
      <c r="G27" s="246">
        <f>ROUND(C27*E27,0)</f>
        <v/>
      </c>
      <c r="H27" s="149" t="n"/>
      <c r="I27" s="212" t="inlineStr">
        <is>
          <t>主  任：</t>
        </is>
      </c>
      <c r="J27" s="126" t="n"/>
      <c r="K27" s="126" t="n"/>
      <c r="L27" s="210" t="n"/>
      <c r="N27" s="192" t="n"/>
      <c r="Q27" s="193" t="n"/>
    </row>
    <row r="28" ht="18" customHeight="1" s="124">
      <c r="A28" s="155" t="n"/>
      <c r="B28" s="157" t="n"/>
      <c r="C28" s="155" t="n"/>
      <c r="D28" s="157" t="n"/>
      <c r="E28" s="200" t="n"/>
      <c r="F28" s="153" t="n"/>
      <c r="G28" s="155" t="n"/>
      <c r="H28" s="157" t="n"/>
      <c r="I28" s="213" t="n"/>
      <c r="J28" s="126" t="n"/>
      <c r="K28" s="126" t="n"/>
      <c r="L28" s="210" t="n"/>
      <c r="N28" s="192" t="n"/>
      <c r="Q28" s="193" t="n"/>
    </row>
    <row r="29" ht="24.75" customHeight="1" s="124">
      <c r="A29" s="211" t="n"/>
      <c r="B29" s="149" t="n"/>
      <c r="C29" s="204" t="n"/>
      <c r="D29" s="149" t="n"/>
      <c r="E29" s="247" t="n"/>
      <c r="F29" s="143" t="n"/>
      <c r="G29" s="246">
        <f>ROUND(C29*E29,0)</f>
        <v/>
      </c>
      <c r="H29" s="149" t="n"/>
      <c r="I29" s="214" t="inlineStr">
        <is>
          <t>預算數：</t>
        </is>
      </c>
      <c r="J29" s="142" t="n"/>
      <c r="K29" s="142" t="n"/>
      <c r="L29" s="143" t="n"/>
      <c r="N29" s="192" t="n"/>
      <c r="Q29" s="193" t="n"/>
    </row>
    <row r="30" ht="24.75" customHeight="1" s="124">
      <c r="A30" s="155" t="n"/>
      <c r="B30" s="157" t="n"/>
      <c r="C30" s="155" t="n"/>
      <c r="D30" s="157" t="n"/>
      <c r="E30" s="200" t="n"/>
      <c r="F30" s="153" t="n"/>
      <c r="G30" s="155" t="n"/>
      <c r="H30" s="157" t="n"/>
      <c r="I30" s="215" t="inlineStr">
        <is>
          <t>已支數：</t>
        </is>
      </c>
      <c r="J30" s="126" t="n"/>
      <c r="K30" s="126" t="n"/>
      <c r="L30" s="210" t="n"/>
      <c r="N30" s="192" t="n"/>
      <c r="Q30" s="193" t="n"/>
    </row>
    <row r="31" ht="35.25" customHeight="1" s="124">
      <c r="A31" s="216" t="inlineStr">
        <is>
          <t>合     計</t>
        </is>
      </c>
      <c r="B31" s="136" t="n"/>
      <c r="C31" s="136" t="n"/>
      <c r="D31" s="136" t="n"/>
      <c r="E31" s="136" t="n"/>
      <c r="F31" s="137" t="n"/>
      <c r="G31" s="248">
        <f>SUM(G15:H30)</f>
        <v/>
      </c>
      <c r="H31" s="218" t="n"/>
      <c r="I31" s="220" t="inlineStr">
        <is>
          <t>餘 額：</t>
        </is>
      </c>
      <c r="J31" s="129" t="n"/>
      <c r="K31" s="221">
        <f>IF(L29="","",L29-G31-L30)</f>
        <v/>
      </c>
      <c r="L31" s="153" t="n"/>
      <c r="N31" s="175" t="n"/>
      <c r="O31" s="176" t="n"/>
      <c r="P31" s="176" t="n"/>
      <c r="Q31" s="177" t="n"/>
    </row>
    <row r="32" ht="18" customHeight="1" s="124">
      <c r="A32" s="222" t="n"/>
      <c r="B32" s="222" t="n"/>
      <c r="C32" s="222" t="n"/>
      <c r="D32" s="222" t="n"/>
      <c r="E32" s="222" t="n"/>
      <c r="F32" s="222" t="n"/>
      <c r="G32" s="223" t="n"/>
      <c r="H32" s="223" t="n"/>
      <c r="I32" s="224" t="n"/>
      <c r="K32" s="225" t="n"/>
      <c r="L32" s="225" t="n"/>
      <c r="N32" s="226" t="n"/>
      <c r="O32" s="226" t="n"/>
      <c r="P32" s="226" t="n"/>
      <c r="Q32" s="226" t="n"/>
    </row>
    <row r="33" ht="21" customHeight="1" s="124">
      <c r="A33" s="194" t="inlineStr">
        <is>
          <t>申   請   單   位</t>
        </is>
      </c>
      <c r="B33" s="136" t="n"/>
      <c r="C33" s="136" t="n"/>
      <c r="D33" s="136" t="n"/>
      <c r="E33" s="137" t="n"/>
      <c r="F33" s="249" t="inlineStr">
        <is>
          <t>會   計   室</t>
        </is>
      </c>
      <c r="G33" s="136" t="n"/>
      <c r="H33" s="136" t="n"/>
      <c r="I33" s="194" t="inlineStr">
        <is>
          <t>校      長</t>
        </is>
      </c>
      <c r="J33" s="136" t="n"/>
      <c r="K33" s="136" t="n"/>
      <c r="L33" s="136" t="n"/>
      <c r="M33" s="137" t="n"/>
      <c r="N33" s="131" t="n"/>
      <c r="O33" s="194" t="inlineStr">
        <is>
          <t>財產或物品登記訖</t>
        </is>
      </c>
      <c r="P33" s="136" t="n"/>
      <c r="Q33" s="137" t="n"/>
    </row>
    <row r="34" ht="35.1" customHeight="1" s="124">
      <c r="A34" s="194" t="inlineStr">
        <is>
          <t>經辦人</t>
        </is>
      </c>
      <c r="B34" s="194" t="n"/>
      <c r="C34" s="136" t="n"/>
      <c r="D34" s="136" t="n"/>
      <c r="E34" s="137" t="n"/>
      <c r="F34" s="250" t="n"/>
      <c r="G34" s="142" t="n"/>
      <c r="H34" s="142" t="n"/>
      <c r="I34" s="140" t="n"/>
      <c r="J34" s="142" t="n"/>
      <c r="K34" s="142" t="n"/>
      <c r="L34" s="142" t="n"/>
      <c r="M34" s="143" t="n"/>
      <c r="N34" s="131" t="n"/>
      <c r="O34" s="227" t="inlineStr">
        <is>
          <t>□非消耗品
□財產</t>
        </is>
      </c>
      <c r="P34" s="142" t="n"/>
      <c r="Q34" s="143" t="n"/>
    </row>
    <row r="35" ht="35.1" customHeight="1" s="124">
      <c r="A35" s="194" t="inlineStr">
        <is>
          <t>單位主管</t>
        </is>
      </c>
      <c r="B35" s="194" t="n"/>
      <c r="C35" s="136" t="n"/>
      <c r="D35" s="136" t="n"/>
      <c r="E35" s="137" t="n"/>
      <c r="F35" s="200" t="n"/>
      <c r="G35" s="129" t="n"/>
      <c r="H35" s="129" t="n"/>
      <c r="I35" s="200" t="n"/>
      <c r="J35" s="129" t="n"/>
      <c r="K35" s="129" t="n"/>
      <c r="L35" s="129" t="n"/>
      <c r="M35" s="153" t="n"/>
      <c r="N35" s="131" t="n"/>
      <c r="O35" s="200" t="n"/>
      <c r="P35" s="129" t="n"/>
      <c r="Q35" s="153" t="n"/>
    </row>
  </sheetData>
  <mergeCells count="96">
    <mergeCell ref="I14:L14"/>
    <mergeCell ref="F33:H33"/>
    <mergeCell ref="K7:N7"/>
    <mergeCell ref="C23:D24"/>
    <mergeCell ref="A21:B22"/>
    <mergeCell ref="S13:U17"/>
    <mergeCell ref="A7:B7"/>
    <mergeCell ref="A23:B24"/>
    <mergeCell ref="G25:H26"/>
    <mergeCell ref="C7:E7"/>
    <mergeCell ref="G27:H28"/>
    <mergeCell ref="K8:N9"/>
    <mergeCell ref="A31:F31"/>
    <mergeCell ref="I33:M33"/>
    <mergeCell ref="F13:G13"/>
    <mergeCell ref="O2:P2"/>
    <mergeCell ref="O33:Q33"/>
    <mergeCell ref="E29:F30"/>
    <mergeCell ref="S3:U3"/>
    <mergeCell ref="A9:B9"/>
    <mergeCell ref="A25:B26"/>
    <mergeCell ref="C25:D26"/>
    <mergeCell ref="F8:G9"/>
    <mergeCell ref="C21:D22"/>
    <mergeCell ref="E15:F16"/>
    <mergeCell ref="G15:H16"/>
    <mergeCell ref="G29:H30"/>
    <mergeCell ref="C14:D14"/>
    <mergeCell ref="A3:C3"/>
    <mergeCell ref="E14:F14"/>
    <mergeCell ref="I29:L29"/>
    <mergeCell ref="H7:J7"/>
    <mergeCell ref="A12:L12"/>
    <mergeCell ref="F34:H35"/>
    <mergeCell ref="B2:C2"/>
    <mergeCell ref="B35:E35"/>
    <mergeCell ref="D3:F3"/>
    <mergeCell ref="O4:Q5"/>
    <mergeCell ref="N22:Q31"/>
    <mergeCell ref="G3:N3"/>
    <mergeCell ref="O7:Q7"/>
    <mergeCell ref="A8:B8"/>
    <mergeCell ref="E17:F18"/>
    <mergeCell ref="G17:H18"/>
    <mergeCell ref="B5:F5"/>
    <mergeCell ref="E19:F20"/>
    <mergeCell ref="C8:E9"/>
    <mergeCell ref="G19:H20"/>
    <mergeCell ref="I24:L24"/>
    <mergeCell ref="O8:Q9"/>
    <mergeCell ref="B4:F4"/>
    <mergeCell ref="I27:L28"/>
    <mergeCell ref="B13:D13"/>
    <mergeCell ref="I19:L19"/>
    <mergeCell ref="F7:G7"/>
    <mergeCell ref="O34:Q35"/>
    <mergeCell ref="C27:D28"/>
    <mergeCell ref="A29:B30"/>
    <mergeCell ref="I25:L26"/>
    <mergeCell ref="I34:M35"/>
    <mergeCell ref="I30:L30"/>
    <mergeCell ref="K31:L31"/>
    <mergeCell ref="E21:F22"/>
    <mergeCell ref="G21:H22"/>
    <mergeCell ref="A15:B16"/>
    <mergeCell ref="A4:A5"/>
    <mergeCell ref="C15:D16"/>
    <mergeCell ref="H8:J8"/>
    <mergeCell ref="A14:B14"/>
    <mergeCell ref="G23:H24"/>
    <mergeCell ref="S12:U12"/>
    <mergeCell ref="C29:D30"/>
    <mergeCell ref="E23:F24"/>
    <mergeCell ref="A10:Q10"/>
    <mergeCell ref="H9:J9"/>
    <mergeCell ref="B34:E34"/>
    <mergeCell ref="A27:B28"/>
    <mergeCell ref="I15:L18"/>
    <mergeCell ref="I23:L23"/>
    <mergeCell ref="E27:F28"/>
    <mergeCell ref="S7:U9"/>
    <mergeCell ref="A17:B18"/>
    <mergeCell ref="A1:Q1"/>
    <mergeCell ref="C17:D18"/>
    <mergeCell ref="A19:B20"/>
    <mergeCell ref="C19:D20"/>
    <mergeCell ref="E25:F26"/>
    <mergeCell ref="A33:E33"/>
    <mergeCell ref="G14:H14"/>
    <mergeCell ref="I20:L21"/>
    <mergeCell ref="O3:Q3"/>
    <mergeCell ref="I22:L22"/>
    <mergeCell ref="G31:H31"/>
    <mergeCell ref="I31:J31"/>
    <mergeCell ref="N12:Q20"/>
    <mergeCell ref="S4:U5"/>
  </mergeCells>
  <dataValidations count="3">
    <dataValidation sqref="B13:D13" showDropDown="0" showInputMessage="0" showErrorMessage="1" allowBlank="1" type="list" errorStyle="stop" operator="between">
      <formula1>單位別</formula1>
      <formula2>0</formula2>
    </dataValidation>
    <dataValidation sqref="B4" showDropDown="0" showInputMessage="1" showErrorMessage="1" allowBlank="1" prompt="預算科目" type="list" errorStyle="stop" operator="between">
      <formula1>預算科目</formula1>
      <formula2>0</formula2>
    </dataValidation>
    <dataValidation sqref="B5:F5" showDropDown="0" showInputMessage="0" showErrorMessage="1" allowBlank="1" type="list" errorStyle="stop" operator="between">
      <formula1>INDIRECT($B$4)</formula1>
      <formula2>0</formula2>
    </dataValidation>
  </dataValidations>
  <printOptions horizontalCentered="1" verticalCentered="1" headings="0" gridLines="0" gridLinesSet="1"/>
  <pageMargins left="0.39375" right="0.39375" top="0.433333333333333" bottom="0.433333333333333"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322"/>
  <sheetViews>
    <sheetView showFormulas="0" showGridLines="1" showRowColHeaders="1" showZeros="0" rightToLeft="0" tabSelected="0" showOutlineSymbols="1" defaultGridColor="1" view="normal" topLeftCell="A1" colorId="64" zoomScale="100" zoomScaleNormal="100" zoomScalePageLayoutView="100" workbookViewId="0">
      <selection pane="topLeft" activeCell="A24" activeCellId="0" sqref="A24"/>
    </sheetView>
  </sheetViews>
  <sheetFormatPr baseColWidth="8" defaultColWidth="39.2421875" defaultRowHeight="16.5" zeroHeight="0" outlineLevelRow="0"/>
  <cols>
    <col width="20.36" customWidth="1" style="123" min="1" max="1"/>
    <col width="39.24" customWidth="1" style="251" min="2" max="2"/>
    <col width="39.24" customWidth="1" style="252" min="3" max="3"/>
    <col width="39.24" customWidth="1" style="253" min="4" max="4"/>
    <col width="49.12" customWidth="1" style="254" min="5" max="5"/>
    <col width="39.24" customWidth="1" style="255" min="6" max="6"/>
  </cols>
  <sheetData>
    <row r="1" ht="16.5" customHeight="1" s="124">
      <c r="A1" s="123" t="inlineStr">
        <is>
          <t>一級科目</t>
        </is>
      </c>
      <c r="B1" s="251">
        <f>[1]預算外選單資料來源!B1</f>
        <v/>
      </c>
      <c r="C1" s="251">
        <f>[1]預算外選單資料來源!C1</f>
        <v/>
      </c>
      <c r="D1" s="251">
        <f>[1]預算外選單資料來源!D1</f>
        <v/>
      </c>
      <c r="E1" s="251">
        <f>[1]預算外選單資料來源!E1</f>
        <v/>
      </c>
      <c r="F1" s="251">
        <f>[1]預算外選單資料來源!F1</f>
        <v/>
      </c>
    </row>
    <row r="2" ht="16.5" customHeight="1" s="124">
      <c r="A2" s="256" t="inlineStr">
        <is>
          <t>應付代收款</t>
        </is>
      </c>
      <c r="B2" s="251">
        <f>[1]預算外選單資料來源!$B$2</f>
        <v/>
      </c>
      <c r="C2" s="257" t="inlineStr">
        <is>
          <t>X00001壓克力籃球場整修工程-工展營造有限公司</t>
        </is>
      </c>
      <c r="D2" s="251">
        <f>[1]預算外選單資料來源!D2</f>
        <v/>
      </c>
      <c r="E2" s="251">
        <f>[1]預算外選單資料來源!E2</f>
        <v/>
      </c>
      <c r="F2" s="251">
        <f>[1]預算外選單資料來源!F2</f>
        <v/>
      </c>
    </row>
    <row r="3" ht="16.5" customHeight="1" s="124">
      <c r="A3" s="258" t="inlineStr">
        <is>
          <t>押標金</t>
        </is>
      </c>
      <c r="B3" s="251">
        <f>[1]預算外選單資料來源!B3</f>
        <v/>
      </c>
      <c r="C3" s="251">
        <f>[1]預算外選單資料來源!C3</f>
        <v/>
      </c>
      <c r="D3" s="251">
        <f>[1]預算外選單資料來源!D3</f>
        <v/>
      </c>
      <c r="E3" s="251">
        <f>[1]預算外選單資料來源!E3</f>
        <v/>
      </c>
      <c r="F3" s="251">
        <f>[1]預算外選單資料來源!F3</f>
        <v/>
      </c>
    </row>
    <row r="4" ht="16.5" customHeight="1" s="124">
      <c r="A4" s="256" t="inlineStr">
        <is>
          <t>履約保證金</t>
        </is>
      </c>
      <c r="B4" s="251">
        <f>[1]預算外選單資料來源!B4</f>
        <v/>
      </c>
      <c r="C4" s="251">
        <f>[1]預算外選單資料來源!C4</f>
        <v/>
      </c>
      <c r="D4" s="251">
        <f>[1]預算外選單資料來源!D4</f>
        <v/>
      </c>
      <c r="E4" s="251">
        <f>[1]預算外選單資料來源!E4</f>
        <v/>
      </c>
      <c r="F4" s="251">
        <f>[1]預算外選單資料來源!F4</f>
        <v/>
      </c>
    </row>
    <row r="5" ht="16.5" customHeight="1" s="124">
      <c r="A5" s="256" t="inlineStr">
        <is>
          <t>保固金</t>
        </is>
      </c>
      <c r="B5" s="251">
        <f>[1]預算外選單資料來源!B5</f>
        <v/>
      </c>
      <c r="C5" s="251">
        <f>[1]預算外選單資料來源!C5</f>
        <v/>
      </c>
      <c r="D5" s="251">
        <f>[1]預算外選單資料來源!D5</f>
        <v/>
      </c>
      <c r="E5" s="251">
        <f>[1]預算外選單資料來源!E5</f>
        <v/>
      </c>
      <c r="F5" s="251">
        <f>[1]預算外選單資料來源!F5</f>
        <v/>
      </c>
    </row>
    <row r="6" ht="16.5" customHeight="1" s="124">
      <c r="A6" s="258" t="inlineStr">
        <is>
          <t>暫收及待結轉帳項</t>
        </is>
      </c>
      <c r="B6" s="251">
        <f>[1]預算外選單資料來源!B6</f>
        <v/>
      </c>
      <c r="C6" s="251">
        <f>[1]預算外選單資料來源!C6</f>
        <v/>
      </c>
      <c r="D6" s="251">
        <f>[1]預算外選單資料來源!D6</f>
        <v/>
      </c>
      <c r="E6" s="251">
        <f>[1]預算外選單資料來源!E6</f>
        <v/>
      </c>
      <c r="F6" s="251">
        <f>[1]預算外選單資料來源!F6</f>
        <v/>
      </c>
    </row>
    <row r="7" ht="16.5" customHeight="1" s="124">
      <c r="A7" s="259" t="inlineStr">
        <is>
          <t>應付保證品</t>
        </is>
      </c>
      <c r="B7" s="251">
        <f>[1]預算外選單資料來源!B7</f>
        <v/>
      </c>
      <c r="C7" s="251">
        <f>[1]預算外選單資料來源!C7</f>
        <v/>
      </c>
      <c r="D7" s="251">
        <f>[1]預算外選單資料來源!D7</f>
        <v/>
      </c>
      <c r="E7" s="251">
        <f>[1]預算外選單資料來源!E7</f>
        <v/>
      </c>
      <c r="F7" s="251">
        <f>[1]預算外選單資料來源!F7</f>
        <v/>
      </c>
    </row>
    <row r="8" ht="16.5" customHeight="1" s="124">
      <c r="B8" s="251">
        <f>[1]預算外選單資料來源!B8</f>
        <v/>
      </c>
      <c r="C8" s="251">
        <f>[1]預算外選單資料來源!C8</f>
        <v/>
      </c>
      <c r="D8" s="251">
        <f>[1]預算外選單資料來源!D8</f>
        <v/>
      </c>
      <c r="E8" s="251">
        <f>[1]預算外選單資料來源!E8</f>
        <v/>
      </c>
      <c r="F8" s="251">
        <f>[1]預算外選單資料來源!F8</f>
        <v/>
      </c>
    </row>
    <row r="9" ht="16.5" customHeight="1" s="124">
      <c r="B9" s="251">
        <f>[1]預算外選單資料來源!B9</f>
        <v/>
      </c>
      <c r="C9" s="251">
        <f>[1]預算外選單資料來源!C9</f>
        <v/>
      </c>
      <c r="D9" s="251">
        <f>[1]預算外選單資料來源!D9</f>
        <v/>
      </c>
      <c r="E9" s="251">
        <f>[1]預算外選單資料來源!E9</f>
        <v/>
      </c>
      <c r="F9" s="251">
        <f>[1]預算外選單資料來源!F9</f>
        <v/>
      </c>
    </row>
    <row r="10" ht="16.5" customHeight="1" s="124">
      <c r="B10" s="251">
        <f>[1]預算外選單資料來源!B10</f>
        <v/>
      </c>
      <c r="C10" s="251">
        <f>[1]預算外選單資料來源!C10</f>
        <v/>
      </c>
      <c r="D10" s="251">
        <f>[1]預算外選單資料來源!D10</f>
        <v/>
      </c>
      <c r="E10" s="251">
        <f>[1]預算外選單資料來源!E10</f>
        <v/>
      </c>
      <c r="F10" s="251">
        <f>[1]預算外選單資料來源!F10</f>
        <v/>
      </c>
    </row>
    <row r="11" ht="16.5" customHeight="1" s="124">
      <c r="B11" s="251">
        <f>[1]預算外選單資料來源!B11</f>
        <v/>
      </c>
      <c r="C11" s="251">
        <f>[1]預算外選單資料來源!C11</f>
        <v/>
      </c>
      <c r="D11" s="251">
        <f>[1]預算外選單資料來源!D11</f>
        <v/>
      </c>
      <c r="E11" s="251">
        <f>[1]預算外選單資料來源!E11</f>
        <v/>
      </c>
      <c r="F11" s="251">
        <f>[1]預算外選單資料來源!F11</f>
        <v/>
      </c>
    </row>
    <row r="12" ht="16.5" customHeight="1" s="124">
      <c r="B12" s="251">
        <f>[1]預算外選單資料來源!B12</f>
        <v/>
      </c>
      <c r="C12" s="251">
        <f>[1]預算外選單資料來源!C12</f>
        <v/>
      </c>
      <c r="D12" s="251">
        <f>[1]預算外選單資料來源!D12</f>
        <v/>
      </c>
      <c r="E12" s="251">
        <f>[1]預算外選單資料來源!E12</f>
        <v/>
      </c>
      <c r="F12" s="251">
        <f>[1]預算外選單資料來源!F12</f>
        <v/>
      </c>
    </row>
    <row r="13" ht="16.5" customHeight="1" s="124">
      <c r="B13" s="251">
        <f>[1]預算外選單資料來源!B13</f>
        <v/>
      </c>
      <c r="C13" s="251">
        <f>[1]預算外選單資料來源!C13</f>
        <v/>
      </c>
      <c r="D13" s="251">
        <f>[1]預算外選單資料來源!D13</f>
        <v/>
      </c>
      <c r="E13" s="251">
        <f>[1]預算外選單資料來源!E13</f>
        <v/>
      </c>
      <c r="F13" s="251">
        <f>[1]預算外選單資料來源!F13</f>
        <v/>
      </c>
    </row>
    <row r="14" ht="16.5" customHeight="1" s="124">
      <c r="B14" s="251">
        <f>[1]預算外選單資料來源!B14</f>
        <v/>
      </c>
      <c r="C14" s="251">
        <f>[1]預算外選單資料來源!C14</f>
        <v/>
      </c>
      <c r="D14" s="251">
        <f>[1]預算外選單資料來源!D14</f>
        <v/>
      </c>
      <c r="E14" s="251">
        <f>[1]預算外選單資料來源!E14</f>
        <v/>
      </c>
      <c r="F14" s="251">
        <f>[1]預算外選單資料來源!F14</f>
        <v/>
      </c>
    </row>
    <row r="15" ht="16.5" customHeight="1" s="124">
      <c r="B15" s="251">
        <f>[1]預算外選單資料來源!B15</f>
        <v/>
      </c>
      <c r="C15" s="251">
        <f>[1]預算外選單資料來源!C15</f>
        <v/>
      </c>
      <c r="D15" s="251">
        <f>[1]預算外選單資料來源!D15</f>
        <v/>
      </c>
      <c r="E15" s="251">
        <f>[1]預算外選單資料來源!E15</f>
        <v/>
      </c>
      <c r="F15" s="251">
        <f>[1]預算外選單資料來源!F15</f>
        <v/>
      </c>
    </row>
    <row r="16" ht="16.5" customHeight="1" s="124">
      <c r="B16" s="251">
        <f>[1]預算外選單資料來源!B16</f>
        <v/>
      </c>
      <c r="C16" s="251">
        <f>[1]預算外選單資料來源!C16</f>
        <v/>
      </c>
      <c r="D16" s="251">
        <f>[1]預算外選單資料來源!D16</f>
        <v/>
      </c>
      <c r="E16" s="251">
        <f>[1]預算外選單資料來源!E16</f>
        <v/>
      </c>
      <c r="F16" s="251">
        <f>[1]預算外選單資料來源!F16</f>
        <v/>
      </c>
    </row>
    <row r="17" ht="16.5" customHeight="1" s="124">
      <c r="B17" s="251">
        <f>[1]預算外選單資料來源!B17</f>
        <v/>
      </c>
      <c r="C17" s="251">
        <f>[1]預算外選單資料來源!C17</f>
        <v/>
      </c>
      <c r="D17" s="251">
        <f>[1]預算外選單資料來源!D17</f>
        <v/>
      </c>
      <c r="E17" s="251">
        <f>[1]預算外選單資料來源!E17</f>
        <v/>
      </c>
      <c r="F17" s="251">
        <f>[1]預算外選單資料來源!F17</f>
        <v/>
      </c>
    </row>
    <row r="18" ht="16.5" customHeight="1" s="124">
      <c r="B18" s="251">
        <f>[1]預算外選單資料來源!B18</f>
        <v/>
      </c>
      <c r="C18" s="251">
        <f>[1]預算外選單資料來源!C18</f>
        <v/>
      </c>
      <c r="D18" s="251">
        <f>[1]預算外選單資料來源!D18</f>
        <v/>
      </c>
      <c r="E18" s="251">
        <f>[1]預算外選單資料來源!E18</f>
        <v/>
      </c>
      <c r="F18" s="251">
        <f>[1]預算外選單資料來源!F18</f>
        <v/>
      </c>
    </row>
    <row r="19" ht="16.5" customHeight="1" s="124">
      <c r="B19" s="251">
        <f>[1]預算外選單資料來源!B19</f>
        <v/>
      </c>
      <c r="C19" s="251">
        <f>[1]預算外選單資料來源!C19</f>
        <v/>
      </c>
      <c r="D19" s="251">
        <f>[1]預算外選單資料來源!D19</f>
        <v/>
      </c>
      <c r="E19" s="251">
        <f>[1]預算外選單資料來源!E19</f>
        <v/>
      </c>
      <c r="F19" s="251">
        <f>[1]預算外選單資料來源!F19</f>
        <v/>
      </c>
    </row>
    <row r="20" ht="16.5" customHeight="1" s="124">
      <c r="B20" s="251">
        <f>[1]預算外選單資料來源!B20</f>
        <v/>
      </c>
      <c r="C20" s="251">
        <f>[1]預算外選單資料來源!C20</f>
        <v/>
      </c>
      <c r="D20" s="251">
        <f>[1]預算外選單資料來源!D20</f>
        <v/>
      </c>
      <c r="E20" s="251">
        <f>[1]預算外選單資料來源!E20</f>
        <v/>
      </c>
      <c r="F20" s="251">
        <f>[1]預算外選單資料來源!F20</f>
        <v/>
      </c>
    </row>
    <row r="21" ht="16.5" customHeight="1" s="124">
      <c r="B21" s="251">
        <f>[1]預算外選單資料來源!B21</f>
        <v/>
      </c>
      <c r="C21" s="251">
        <f>[1]預算外選單資料來源!C21</f>
        <v/>
      </c>
      <c r="D21" s="251">
        <f>[1]預算外選單資料來源!D21</f>
        <v/>
      </c>
      <c r="E21" s="251">
        <f>[1]預算外選單資料來源!E21</f>
        <v/>
      </c>
      <c r="F21" s="251">
        <f>[1]預算外選單資料來源!F21</f>
        <v/>
      </c>
    </row>
    <row r="22" ht="16.5" customHeight="1" s="124">
      <c r="B22" s="251">
        <f>[1]預算外選單資料來源!B22</f>
        <v/>
      </c>
      <c r="C22" s="251">
        <f>[1]預算外選單資料來源!C22</f>
        <v/>
      </c>
      <c r="D22" s="251">
        <f>[1]預算外選單資料來源!D22</f>
        <v/>
      </c>
      <c r="E22" s="251">
        <f>[1]預算外選單資料來源!E22</f>
        <v/>
      </c>
      <c r="F22" s="251">
        <f>[1]預算外選單資料來源!F22</f>
        <v/>
      </c>
    </row>
    <row r="23" ht="16.5" customHeight="1" s="124">
      <c r="B23" s="251">
        <f>[1]預算外選單資料來源!B23</f>
        <v/>
      </c>
      <c r="C23" s="251">
        <f>[1]預算外選單資料來源!C23</f>
        <v/>
      </c>
      <c r="D23" s="251">
        <f>[1]預算外選單資料來源!D23</f>
        <v/>
      </c>
      <c r="E23" s="251">
        <f>[1]預算外選單資料來源!E23</f>
        <v/>
      </c>
      <c r="F23" s="251">
        <f>[1]預算外選單資料來源!F23</f>
        <v/>
      </c>
    </row>
    <row r="24" ht="16.5" customHeight="1" s="124">
      <c r="B24" s="251">
        <f>[1]預算外選單資料來源!B24</f>
        <v/>
      </c>
      <c r="C24" s="251">
        <f>[1]預算外選單資料來源!C24</f>
        <v/>
      </c>
      <c r="D24" s="251">
        <f>[1]預算外選單資料來源!D24</f>
        <v/>
      </c>
      <c r="E24" s="251">
        <f>[1]預算外選單資料來源!E24</f>
        <v/>
      </c>
      <c r="F24" s="251">
        <f>[1]預算外選單資料來源!F24</f>
        <v/>
      </c>
    </row>
    <row r="25" ht="16.5" customHeight="1" s="124">
      <c r="B25" s="251">
        <f>[1]預算外選單資料來源!B25</f>
        <v/>
      </c>
      <c r="C25" s="251">
        <f>[1]預算外選單資料來源!C25</f>
        <v/>
      </c>
      <c r="D25" s="251">
        <f>[1]預算外選單資料來源!D25</f>
        <v/>
      </c>
      <c r="E25" s="251">
        <f>[1]預算外選單資料來源!E25</f>
        <v/>
      </c>
      <c r="F25" s="251">
        <f>[1]預算外選單資料來源!F25</f>
        <v/>
      </c>
    </row>
    <row r="26" ht="16.5" customHeight="1" s="124">
      <c r="B26" s="251">
        <f>[1]預算外選單資料來源!B26</f>
        <v/>
      </c>
      <c r="C26" s="251">
        <f>[1]預算外選單資料來源!C26</f>
        <v/>
      </c>
      <c r="D26" s="251">
        <f>[1]預算外選單資料來源!D26</f>
        <v/>
      </c>
      <c r="E26" s="251">
        <f>[1]預算外選單資料來源!E26</f>
        <v/>
      </c>
      <c r="F26" s="251">
        <f>[1]預算外選單資料來源!F26</f>
        <v/>
      </c>
    </row>
    <row r="27" ht="16.5" customHeight="1" s="124">
      <c r="B27" s="251">
        <f>[1]預算外選單資料來源!B27</f>
        <v/>
      </c>
      <c r="C27" s="251">
        <f>[1]預算外選單資料來源!C27</f>
        <v/>
      </c>
      <c r="D27" s="251">
        <f>[1]預算外選單資料來源!D27</f>
        <v/>
      </c>
      <c r="E27" s="251">
        <f>[1]預算外選單資料來源!E27</f>
        <v/>
      </c>
      <c r="F27" s="251">
        <f>[1]預算外選單資料來源!F27</f>
        <v/>
      </c>
    </row>
    <row r="28" ht="16.5" customHeight="1" s="124">
      <c r="B28" s="251">
        <f>[1]預算外選單資料來源!B28</f>
        <v/>
      </c>
      <c r="C28" s="251">
        <f>[1]預算外選單資料來源!C28</f>
        <v/>
      </c>
      <c r="D28" s="251">
        <f>[1]預算外選單資料來源!D28</f>
        <v/>
      </c>
      <c r="E28" s="251">
        <f>[1]預算外選單資料來源!E28</f>
        <v/>
      </c>
      <c r="F28" s="251">
        <f>[1]預算外選單資料來源!F28</f>
        <v/>
      </c>
    </row>
    <row r="29" ht="33" customHeight="1" s="124">
      <c r="B29" s="251">
        <f>[1]預算外選單資料來源!B29</f>
        <v/>
      </c>
      <c r="C29" s="251">
        <f>[1]預算外選單資料來源!C29</f>
        <v/>
      </c>
      <c r="D29" s="251">
        <f>[1]預算外選單資料來源!D29</f>
        <v/>
      </c>
      <c r="E29" s="251">
        <f>[1]預算外選單資料來源!E29</f>
        <v/>
      </c>
      <c r="F29" s="251">
        <f>[1]預算外選單資料來源!F29</f>
        <v/>
      </c>
    </row>
    <row r="30" ht="16.5" customHeight="1" s="124">
      <c r="B30" s="251">
        <f>[1]預算外選單資料來源!B30</f>
        <v/>
      </c>
      <c r="C30" s="251">
        <f>[1]預算外選單資料來源!C30</f>
        <v/>
      </c>
      <c r="D30" s="251">
        <f>[1]預算外選單資料來源!D30</f>
        <v/>
      </c>
      <c r="E30" s="251">
        <f>[1]預算外選單資料來源!E30</f>
        <v/>
      </c>
      <c r="F30" s="251">
        <f>[1]預算外選單資料來源!F30</f>
        <v/>
      </c>
    </row>
    <row r="31" ht="16.5" customHeight="1" s="124">
      <c r="B31" s="251">
        <f>[1]預算外選單資料來源!B31</f>
        <v/>
      </c>
      <c r="C31" s="251">
        <f>[1]預算外選單資料來源!C31</f>
        <v/>
      </c>
      <c r="D31" s="251">
        <f>[1]預算外選單資料來源!D31</f>
        <v/>
      </c>
      <c r="E31" s="251">
        <f>[1]預算外選單資料來源!E31</f>
        <v/>
      </c>
      <c r="F31" s="251">
        <f>[1]預算外選單資料來源!F31</f>
        <v/>
      </c>
    </row>
    <row r="32" ht="16.5" customHeight="1" s="124">
      <c r="B32" s="251">
        <f>[1]預算外選單資料來源!B32</f>
        <v/>
      </c>
      <c r="C32" s="251">
        <f>[1]預算外選單資料來源!C32</f>
        <v/>
      </c>
      <c r="D32" s="251">
        <f>[1]預算外選單資料來源!D32</f>
        <v/>
      </c>
      <c r="E32" s="251">
        <f>[1]預算外選單資料來源!E32</f>
        <v/>
      </c>
      <c r="F32" s="251">
        <f>[1]預算外選單資料來源!F32</f>
        <v/>
      </c>
    </row>
    <row r="33" ht="16.5" customHeight="1" s="124">
      <c r="B33" s="251">
        <f>[1]預算外選單資料來源!B33</f>
        <v/>
      </c>
      <c r="C33" s="251">
        <f>[1]預算外選單資料來源!C33</f>
        <v/>
      </c>
      <c r="D33" s="251">
        <f>[1]預算外選單資料來源!D33</f>
        <v/>
      </c>
      <c r="E33" s="251">
        <f>[1]預算外選單資料來源!E33</f>
        <v/>
      </c>
      <c r="F33" s="251">
        <f>[1]預算外選單資料來源!F33</f>
        <v/>
      </c>
    </row>
    <row r="34" ht="16.5" customHeight="1" s="124">
      <c r="B34" s="251">
        <f>[1]預算外選單資料來源!B34</f>
        <v/>
      </c>
      <c r="C34" s="251">
        <f>[1]預算外選單資料來源!C34</f>
        <v/>
      </c>
      <c r="D34" s="251">
        <f>[1]預算外選單資料來源!D34</f>
        <v/>
      </c>
      <c r="E34" s="251">
        <f>[1]預算外選單資料來源!E34</f>
        <v/>
      </c>
      <c r="F34" s="251">
        <f>[1]預算外選單資料來源!F34</f>
        <v/>
      </c>
    </row>
    <row r="35" ht="16.5" customHeight="1" s="124">
      <c r="B35" s="251">
        <f>[1]預算外選單資料來源!B35</f>
        <v/>
      </c>
      <c r="C35" s="251">
        <f>[1]預算外選單資料來源!C35</f>
        <v/>
      </c>
      <c r="D35" s="251">
        <f>[1]預算外選單資料來源!D35</f>
        <v/>
      </c>
      <c r="E35" s="251">
        <f>[1]預算外選單資料來源!E35</f>
        <v/>
      </c>
      <c r="F35" s="251">
        <f>[1]預算外選單資料來源!F35</f>
        <v/>
      </c>
    </row>
    <row r="36" ht="16.5" customHeight="1" s="124">
      <c r="B36" s="251">
        <f>[1]預算外選單資料來源!B36</f>
        <v/>
      </c>
      <c r="C36" s="251">
        <f>[1]預算外選單資料來源!C36</f>
        <v/>
      </c>
      <c r="D36" s="251">
        <f>[1]預算外選單資料來源!D36</f>
        <v/>
      </c>
      <c r="E36" s="251">
        <f>[1]預算外選單資料來源!E36</f>
        <v/>
      </c>
      <c r="F36" s="251">
        <f>[1]預算外選單資料來源!F36</f>
        <v/>
      </c>
    </row>
    <row r="37" ht="16.5" customHeight="1" s="124">
      <c r="B37" s="251">
        <f>[1]預算外選單資料來源!B37</f>
        <v/>
      </c>
      <c r="C37" s="251">
        <f>[1]預算外選單資料來源!C37</f>
        <v/>
      </c>
      <c r="D37" s="251">
        <f>[1]預算外選單資料來源!D37</f>
        <v/>
      </c>
      <c r="E37" s="251">
        <f>[1]預算外選單資料來源!E37</f>
        <v/>
      </c>
      <c r="F37" s="251">
        <f>[1]預算外選單資料來源!F37</f>
        <v/>
      </c>
    </row>
    <row r="38" ht="33" customHeight="1" s="124">
      <c r="B38" s="251">
        <f>[1]預算外選單資料來源!B38</f>
        <v/>
      </c>
      <c r="C38" s="251">
        <f>[1]預算外選單資料來源!C38</f>
        <v/>
      </c>
      <c r="D38" s="251">
        <f>[1]預算外選單資料來源!D38</f>
        <v/>
      </c>
      <c r="E38" s="251">
        <f>[1]預算外選單資料來源!E38</f>
        <v/>
      </c>
      <c r="F38" s="251">
        <f>[1]預算外選單資料來源!F38</f>
        <v/>
      </c>
    </row>
    <row r="39" ht="16.5" customHeight="1" s="124">
      <c r="B39" s="251">
        <f>[1]預算外選單資料來源!B39</f>
        <v/>
      </c>
      <c r="C39" s="251">
        <f>[1]預算外選單資料來源!C39</f>
        <v/>
      </c>
      <c r="D39" s="251">
        <f>[1]預算外選單資料來源!D39</f>
        <v/>
      </c>
      <c r="E39" s="251">
        <f>[1]預算外選單資料來源!E39</f>
        <v/>
      </c>
      <c r="F39" s="251">
        <f>[1]預算外選單資料來源!F39</f>
        <v/>
      </c>
    </row>
    <row r="40" ht="33" customHeight="1" s="124">
      <c r="B40" s="251">
        <f>[1]預算外選單資料來源!B40</f>
        <v/>
      </c>
      <c r="C40" s="251">
        <f>[1]預算外選單資料來源!C40</f>
        <v/>
      </c>
      <c r="D40" s="251">
        <f>[1]預算外選單資料來源!D40</f>
        <v/>
      </c>
      <c r="E40" s="251">
        <f>[1]預算外選單資料來源!E40</f>
        <v/>
      </c>
      <c r="F40" s="251">
        <f>[1]預算外選單資料來源!F40</f>
        <v/>
      </c>
    </row>
    <row r="41" ht="33" customHeight="1" s="124">
      <c r="B41" s="251">
        <f>[1]預算外選單資料來源!B41</f>
        <v/>
      </c>
      <c r="C41" s="251">
        <f>[1]預算外選單資料來源!C41</f>
        <v/>
      </c>
      <c r="D41" s="251">
        <f>[1]預算外選單資料來源!D41</f>
        <v/>
      </c>
      <c r="E41" s="251">
        <f>[1]預算外選單資料來源!E41</f>
        <v/>
      </c>
      <c r="F41" s="251">
        <f>[1]預算外選單資料來源!F41</f>
        <v/>
      </c>
    </row>
    <row r="42" ht="33" customHeight="1" s="124">
      <c r="B42" s="251">
        <f>[1]預算外選單資料來源!B42</f>
        <v/>
      </c>
      <c r="C42" s="251">
        <f>[1]預算外選單資料來源!C42</f>
        <v/>
      </c>
      <c r="D42" s="251">
        <f>[1]預算外選單資料來源!D42</f>
        <v/>
      </c>
      <c r="E42" s="251">
        <f>[1]預算外選單資料來源!E42</f>
        <v/>
      </c>
      <c r="F42" s="251">
        <f>[1]預算外選單資料來源!F42</f>
        <v/>
      </c>
    </row>
    <row r="43" ht="33" customHeight="1" s="124">
      <c r="B43" s="251">
        <f>[1]預算外選單資料來源!B43</f>
        <v/>
      </c>
      <c r="C43" s="251">
        <f>[1]預算外選單資料來源!C43</f>
        <v/>
      </c>
      <c r="D43" s="251">
        <f>[1]預算外選單資料來源!D43</f>
        <v/>
      </c>
      <c r="E43" s="251">
        <f>[1]預算外選單資料來源!E43</f>
        <v/>
      </c>
      <c r="F43" s="251">
        <f>[1]預算外選單資料來源!F43</f>
        <v/>
      </c>
    </row>
    <row r="44" ht="16.5" customHeight="1" s="124">
      <c r="B44" s="251">
        <f>[1]預算外選單資料來源!B44</f>
        <v/>
      </c>
      <c r="C44" s="251">
        <f>[1]預算外選單資料來源!C44</f>
        <v/>
      </c>
      <c r="D44" s="251">
        <f>[1]預算外選單資料來源!D44</f>
        <v/>
      </c>
      <c r="E44" s="251">
        <f>[1]預算外選單資料來源!E44</f>
        <v/>
      </c>
      <c r="F44" s="251">
        <f>[1]預算外選單資料來源!F44</f>
        <v/>
      </c>
    </row>
    <row r="45" ht="16.5" customHeight="1" s="124">
      <c r="B45" s="251">
        <f>[1]預算外選單資料來源!B45</f>
        <v/>
      </c>
      <c r="C45" s="251">
        <f>[1]預算外選單資料來源!C45</f>
        <v/>
      </c>
      <c r="D45" s="251">
        <f>[1]預算外選單資料來源!D45</f>
        <v/>
      </c>
      <c r="E45" s="251">
        <f>[1]預算外選單資料來源!E45</f>
        <v/>
      </c>
      <c r="F45" s="251">
        <f>[1]預算外選單資料來源!F45</f>
        <v/>
      </c>
    </row>
    <row r="46" ht="16.5" customHeight="1" s="124">
      <c r="B46" s="251">
        <f>[1]預算外選單資料來源!B46</f>
        <v/>
      </c>
      <c r="C46" s="251">
        <f>[1]預算外選單資料來源!C46</f>
        <v/>
      </c>
      <c r="D46" s="251">
        <f>[1]預算外選單資料來源!D46</f>
        <v/>
      </c>
      <c r="E46" s="251">
        <f>[1]預算外選單資料來源!E46</f>
        <v/>
      </c>
      <c r="F46" s="251">
        <f>[1]預算外選單資料來源!F46</f>
        <v/>
      </c>
    </row>
    <row r="47" ht="16.5" customHeight="1" s="124">
      <c r="B47" s="251">
        <f>[1]預算外選單資料來源!B47</f>
        <v/>
      </c>
      <c r="C47" s="251">
        <f>[1]預算外選單資料來源!C47</f>
        <v/>
      </c>
      <c r="D47" s="251">
        <f>[1]預算外選單資料來源!D47</f>
        <v/>
      </c>
      <c r="E47" s="251">
        <f>[1]預算外選單資料來源!E47</f>
        <v/>
      </c>
      <c r="F47" s="251">
        <f>[1]預算外選單資料來源!F47</f>
        <v/>
      </c>
    </row>
    <row r="48" ht="16.5" customHeight="1" s="124">
      <c r="B48" s="251">
        <f>[1]預算外選單資料來源!B48</f>
        <v/>
      </c>
      <c r="C48" s="251">
        <f>[1]預算外選單資料來源!C48</f>
        <v/>
      </c>
      <c r="D48" s="251">
        <f>[1]預算外選單資料來源!D48</f>
        <v/>
      </c>
      <c r="E48" s="251">
        <f>[1]預算外選單資料來源!E48</f>
        <v/>
      </c>
      <c r="F48" s="251">
        <f>[1]預算外選單資料來源!F48</f>
        <v/>
      </c>
    </row>
    <row r="49" ht="16.5" customHeight="1" s="124">
      <c r="B49" s="251">
        <f>[1]預算外選單資料來源!B49</f>
        <v/>
      </c>
      <c r="C49" s="251">
        <f>[1]預算外選單資料來源!C49</f>
        <v/>
      </c>
      <c r="D49" s="251">
        <f>[1]預算外選單資料來源!D49</f>
        <v/>
      </c>
      <c r="E49" s="251">
        <f>[1]預算外選單資料來源!E49</f>
        <v/>
      </c>
      <c r="F49" s="251">
        <f>[1]預算外選單資料來源!F49</f>
        <v/>
      </c>
    </row>
    <row r="50" ht="16.5" customHeight="1" s="124">
      <c r="B50" s="251">
        <f>[1]預算外選單資料來源!B50</f>
        <v/>
      </c>
      <c r="C50" s="251">
        <f>[1]預算外選單資料來源!C50</f>
        <v/>
      </c>
      <c r="D50" s="251">
        <f>[1]預算外選單資料來源!D50</f>
        <v/>
      </c>
      <c r="E50" s="251">
        <f>[1]預算外選單資料來源!E50</f>
        <v/>
      </c>
      <c r="F50" s="251">
        <f>[1]預算外選單資料來源!F50</f>
        <v/>
      </c>
    </row>
    <row r="51" ht="21.6" customHeight="1" s="124">
      <c r="B51" s="251">
        <f>[1]預算外選單資料來源!B51</f>
        <v/>
      </c>
      <c r="C51" s="251">
        <f>[1]預算外選單資料來源!C51</f>
        <v/>
      </c>
      <c r="D51" s="251">
        <f>[1]預算外選單資料來源!D51</f>
        <v/>
      </c>
      <c r="E51" s="251">
        <f>[1]預算外選單資料來源!E51</f>
        <v/>
      </c>
      <c r="F51" s="251">
        <f>[1]預算外選單資料來源!F51</f>
        <v/>
      </c>
    </row>
    <row r="52" ht="16.5" customHeight="1" s="124">
      <c r="B52" s="251">
        <f>[1]預算外選單資料來源!B52</f>
        <v/>
      </c>
      <c r="C52" s="251">
        <f>[1]預算外選單資料來源!C52</f>
        <v/>
      </c>
      <c r="D52" s="251">
        <f>[1]預算外選單資料來源!D52</f>
        <v/>
      </c>
      <c r="E52" s="251">
        <f>[1]預算外選單資料來源!E52</f>
        <v/>
      </c>
      <c r="F52" s="251">
        <f>[1]預算外選單資料來源!F52</f>
        <v/>
      </c>
    </row>
    <row r="53" ht="16.5" customHeight="1" s="124">
      <c r="B53" s="251">
        <f>[1]預算外選單資料來源!B53</f>
        <v/>
      </c>
      <c r="C53" s="251">
        <f>[1]預算外選單資料來源!C53</f>
        <v/>
      </c>
      <c r="D53" s="251">
        <f>[1]預算外選單資料來源!D53</f>
        <v/>
      </c>
      <c r="E53" s="251">
        <f>[1]預算外選單資料來源!E53</f>
        <v/>
      </c>
      <c r="F53" s="251">
        <f>[1]預算外選單資料來源!F53</f>
        <v/>
      </c>
    </row>
    <row r="54" ht="16.5" customHeight="1" s="124">
      <c r="B54" s="251">
        <f>[1]預算外選單資料來源!B54</f>
        <v/>
      </c>
      <c r="C54" s="251">
        <f>[1]預算外選單資料來源!C54</f>
        <v/>
      </c>
      <c r="D54" s="251">
        <f>[1]預算外選單資料來源!D54</f>
        <v/>
      </c>
      <c r="E54" s="251">
        <f>[1]預算外選單資料來源!E54</f>
        <v/>
      </c>
      <c r="F54" s="251">
        <f>[1]預算外選單資料來源!F54</f>
        <v/>
      </c>
    </row>
    <row r="55" ht="16.5" customHeight="1" s="124">
      <c r="B55" s="251">
        <f>[1]預算外選單資料來源!B55</f>
        <v/>
      </c>
      <c r="C55" s="251">
        <f>[1]預算外選單資料來源!C55</f>
        <v/>
      </c>
      <c r="D55" s="251">
        <f>[1]預算外選單資料來源!D55</f>
        <v/>
      </c>
      <c r="E55" s="251">
        <f>[1]預算外選單資料來源!E55</f>
        <v/>
      </c>
      <c r="F55" s="251">
        <f>[1]預算外選單資料來源!F55</f>
        <v/>
      </c>
    </row>
    <row r="56" ht="16.5" customHeight="1" s="124">
      <c r="B56" s="251">
        <f>[1]預算外選單資料來源!B56</f>
        <v/>
      </c>
      <c r="C56" s="251">
        <f>[1]預算外選單資料來源!C56</f>
        <v/>
      </c>
      <c r="D56" s="251">
        <f>[1]預算外選單資料來源!D56</f>
        <v/>
      </c>
      <c r="E56" s="251">
        <f>[1]預算外選單資料來源!E56</f>
        <v/>
      </c>
      <c r="F56" s="251">
        <f>[1]預算外選單資料來源!F56</f>
        <v/>
      </c>
    </row>
    <row r="57" ht="16.5" customHeight="1" s="124">
      <c r="B57" s="251">
        <f>[1]預算外選單資料來源!B57</f>
        <v/>
      </c>
      <c r="C57" s="251">
        <f>[1]預算外選單資料來源!C57</f>
        <v/>
      </c>
      <c r="D57" s="251">
        <f>[1]預算外選單資料來源!D57</f>
        <v/>
      </c>
      <c r="E57" s="251">
        <f>[1]預算外選單資料來源!E57</f>
        <v/>
      </c>
      <c r="F57" s="251">
        <f>[1]預算外選單資料來源!F57</f>
        <v/>
      </c>
    </row>
    <row r="58" ht="16.5" customHeight="1" s="124">
      <c r="B58" s="251">
        <f>[1]預算外選單資料來源!B58</f>
        <v/>
      </c>
      <c r="C58" s="251">
        <f>[1]預算外選單資料來源!C58</f>
        <v/>
      </c>
      <c r="D58" s="251">
        <f>[1]預算外選單資料來源!D58</f>
        <v/>
      </c>
      <c r="E58" s="251">
        <f>[1]預算外選單資料來源!E58</f>
        <v/>
      </c>
      <c r="F58" s="251">
        <f>[1]預算外選單資料來源!F58</f>
        <v/>
      </c>
    </row>
    <row r="59" ht="16.5" customHeight="1" s="124">
      <c r="B59" s="251">
        <f>[1]預算外選單資料來源!B59</f>
        <v/>
      </c>
      <c r="C59" s="251">
        <f>[1]預算外選單資料來源!C59</f>
        <v/>
      </c>
      <c r="D59" s="251">
        <f>[1]預算外選單資料來源!D59</f>
        <v/>
      </c>
      <c r="E59" s="251">
        <f>[1]預算外選單資料來源!E59</f>
        <v/>
      </c>
      <c r="F59" s="251">
        <f>[1]預算外選單資料來源!F59</f>
        <v/>
      </c>
    </row>
    <row r="60" ht="16.5" customHeight="1" s="124">
      <c r="B60" s="251">
        <f>[1]預算外選單資料來源!B60</f>
        <v/>
      </c>
      <c r="C60" s="251">
        <f>[1]預算外選單資料來源!C60</f>
        <v/>
      </c>
      <c r="D60" s="251">
        <f>[1]預算外選單資料來源!D60</f>
        <v/>
      </c>
      <c r="E60" s="251">
        <f>[1]預算外選單資料來源!E60</f>
        <v/>
      </c>
      <c r="F60" s="251">
        <f>[1]預算外選單資料來源!F60</f>
        <v/>
      </c>
    </row>
    <row r="61" ht="16.5" customHeight="1" s="124">
      <c r="B61" s="251">
        <f>[1]預算外選單資料來源!B61</f>
        <v/>
      </c>
      <c r="C61" s="251">
        <f>[1]預算外選單資料來源!C61</f>
        <v/>
      </c>
      <c r="D61" s="251">
        <f>[1]預算外選單資料來源!D61</f>
        <v/>
      </c>
      <c r="E61" s="251">
        <f>[1]預算外選單資料來源!E61</f>
        <v/>
      </c>
      <c r="F61" s="251">
        <f>[1]預算外選單資料來源!F61</f>
        <v/>
      </c>
    </row>
    <row r="62" ht="16.5" customHeight="1" s="124">
      <c r="B62" s="251">
        <f>[1]預算外選單資料來源!B62</f>
        <v/>
      </c>
      <c r="C62" s="251">
        <f>[1]預算外選單資料來源!C62</f>
        <v/>
      </c>
      <c r="D62" s="251">
        <f>[1]預算外選單資料來源!D62</f>
        <v/>
      </c>
      <c r="E62" s="251">
        <f>[1]預算外選單資料來源!E62</f>
        <v/>
      </c>
      <c r="F62" s="251">
        <f>[1]預算外選單資料來源!F62</f>
        <v/>
      </c>
    </row>
    <row r="63" ht="16.5" customHeight="1" s="124">
      <c r="B63" s="251">
        <f>[1]預算外選單資料來源!B63</f>
        <v/>
      </c>
      <c r="C63" s="251">
        <f>[1]預算外選單資料來源!C63</f>
        <v/>
      </c>
      <c r="D63" s="251">
        <f>[1]預算外選單資料來源!D63</f>
        <v/>
      </c>
      <c r="E63" s="251">
        <f>[1]預算外選單資料來源!E63</f>
        <v/>
      </c>
      <c r="F63" s="251">
        <f>[1]預算外選單資料來源!F63</f>
        <v/>
      </c>
    </row>
    <row r="64" ht="16.5" customHeight="1" s="124">
      <c r="B64" s="251">
        <f>[1]預算外選單資料來源!B64</f>
        <v/>
      </c>
      <c r="C64" s="251">
        <f>[1]預算外選單資料來源!C64</f>
        <v/>
      </c>
      <c r="D64" s="251">
        <f>[1]預算外選單資料來源!D64</f>
        <v/>
      </c>
      <c r="E64" s="251">
        <f>[1]預算外選單資料來源!E64</f>
        <v/>
      </c>
      <c r="F64" s="251">
        <f>[1]預算外選單資料來源!F64</f>
        <v/>
      </c>
    </row>
    <row r="65" ht="16.5" customHeight="1" s="124">
      <c r="B65" s="251">
        <f>[1]預算外選單資料來源!B65</f>
        <v/>
      </c>
      <c r="C65" s="251">
        <f>[1]預算外選單資料來源!C65</f>
        <v/>
      </c>
      <c r="D65" s="251">
        <f>[1]預算外選單資料來源!D65</f>
        <v/>
      </c>
      <c r="E65" s="251">
        <f>[1]預算外選單資料來源!E65</f>
        <v/>
      </c>
      <c r="F65" s="251">
        <f>[1]預算外選單資料來源!F65</f>
        <v/>
      </c>
    </row>
    <row r="66" ht="16.5" customHeight="1" s="124">
      <c r="B66" s="251">
        <f>[1]預算外選單資料來源!B66</f>
        <v/>
      </c>
      <c r="C66" s="251">
        <f>[1]預算外選單資料來源!C66</f>
        <v/>
      </c>
      <c r="D66" s="251">
        <f>[1]預算外選單資料來源!D66</f>
        <v/>
      </c>
      <c r="E66" s="251">
        <f>[1]預算外選單資料來源!E66</f>
        <v/>
      </c>
      <c r="F66" s="251">
        <f>[1]預算外選單資料來源!F66</f>
        <v/>
      </c>
    </row>
    <row r="67" ht="16.5" customHeight="1" s="124">
      <c r="B67" s="251">
        <f>[1]預算外選單資料來源!B67</f>
        <v/>
      </c>
      <c r="C67" s="251">
        <f>[1]預算外選單資料來源!C67</f>
        <v/>
      </c>
      <c r="D67" s="251">
        <f>[1]預算外選單資料來源!D67</f>
        <v/>
      </c>
      <c r="E67" s="251">
        <f>[1]預算外選單資料來源!E67</f>
        <v/>
      </c>
      <c r="F67" s="251">
        <f>[1]預算外選單資料來源!F67</f>
        <v/>
      </c>
    </row>
    <row r="68" ht="16.5" customHeight="1" s="124">
      <c r="B68" s="251">
        <f>[1]預算外選單資料來源!B68</f>
        <v/>
      </c>
      <c r="C68" s="251">
        <f>[1]預算外選單資料來源!C68</f>
        <v/>
      </c>
      <c r="D68" s="251">
        <f>[1]預算外選單資料來源!D68</f>
        <v/>
      </c>
      <c r="E68" s="251">
        <f>[1]預算外選單資料來源!E68</f>
        <v/>
      </c>
      <c r="F68" s="251">
        <f>[1]預算外選單資料來源!F68</f>
        <v/>
      </c>
    </row>
    <row r="69" ht="16.5" customHeight="1" s="124">
      <c r="B69" s="251">
        <f>[1]預算外選單資料來源!B69</f>
        <v/>
      </c>
      <c r="C69" s="251">
        <f>[1]預算外選單資料來源!C69</f>
        <v/>
      </c>
      <c r="D69" s="251">
        <f>[1]預算外選單資料來源!D69</f>
        <v/>
      </c>
      <c r="E69" s="251">
        <f>[1]預算外選單資料來源!E69</f>
        <v/>
      </c>
      <c r="F69" s="251">
        <f>[1]預算外選單資料來源!F69</f>
        <v/>
      </c>
    </row>
    <row r="70" ht="16.5" customHeight="1" s="124">
      <c r="B70" s="251">
        <f>[1]預算外選單資料來源!B70</f>
        <v/>
      </c>
      <c r="C70" s="251">
        <f>[1]預算外選單資料來源!C70</f>
        <v/>
      </c>
      <c r="D70" s="251">
        <f>[1]預算外選單資料來源!D70</f>
        <v/>
      </c>
      <c r="E70" s="251">
        <f>[1]預算外選單資料來源!E70</f>
        <v/>
      </c>
      <c r="F70" s="251">
        <f>[1]預算外選單資料來源!F70</f>
        <v/>
      </c>
    </row>
    <row r="71" ht="16.5" customHeight="1" s="124">
      <c r="B71" s="251">
        <f>[1]預算外選單資料來源!B71</f>
        <v/>
      </c>
      <c r="C71" s="251">
        <f>[1]預算外選單資料來源!C71</f>
        <v/>
      </c>
      <c r="D71" s="251">
        <f>[1]預算外選單資料來源!D71</f>
        <v/>
      </c>
      <c r="E71" s="251">
        <f>[1]預算外選單資料來源!E71</f>
        <v/>
      </c>
      <c r="F71" s="251">
        <f>[1]預算外選單資料來源!F71</f>
        <v/>
      </c>
    </row>
    <row r="72" ht="16.5" customHeight="1" s="124">
      <c r="B72" s="251">
        <f>[1]預算外選單資料來源!B72</f>
        <v/>
      </c>
      <c r="C72" s="251">
        <f>[1]預算外選單資料來源!C72</f>
        <v/>
      </c>
      <c r="D72" s="251">
        <f>[1]預算外選單資料來源!D72</f>
        <v/>
      </c>
      <c r="E72" s="251">
        <f>[1]預算外選單資料來源!E72</f>
        <v/>
      </c>
      <c r="F72" s="251">
        <f>[1]預算外選單資料來源!F72</f>
        <v/>
      </c>
    </row>
    <row r="73" ht="16.5" customHeight="1" s="124">
      <c r="B73" s="251">
        <f>[1]預算外選單資料來源!B73</f>
        <v/>
      </c>
      <c r="C73" s="251">
        <f>[1]預算外選單資料來源!C73</f>
        <v/>
      </c>
      <c r="D73" s="251">
        <f>[1]預算外選單資料來源!D73</f>
        <v/>
      </c>
      <c r="E73" s="251">
        <f>[1]預算外選單資料來源!E73</f>
        <v/>
      </c>
      <c r="F73" s="251">
        <f>[1]預算外選單資料來源!F73</f>
        <v/>
      </c>
    </row>
    <row r="74" ht="16.5" customHeight="1" s="124">
      <c r="B74" s="251">
        <f>[1]預算外選單資料來源!B74</f>
        <v/>
      </c>
      <c r="C74" s="251">
        <f>[1]預算外選單資料來源!C74</f>
        <v/>
      </c>
      <c r="D74" s="251">
        <f>[1]預算外選單資料來源!D74</f>
        <v/>
      </c>
      <c r="E74" s="251">
        <f>[1]預算外選單資料來源!E74</f>
        <v/>
      </c>
      <c r="F74" s="251">
        <f>[1]預算外選單資料來源!F74</f>
        <v/>
      </c>
    </row>
    <row r="75" ht="16.5" customHeight="1" s="124">
      <c r="B75" s="251">
        <f>[1]預算外選單資料來源!B75</f>
        <v/>
      </c>
      <c r="C75" s="251">
        <f>[1]預算外選單資料來源!C75</f>
        <v/>
      </c>
      <c r="D75" s="251">
        <f>[1]預算外選單資料來源!D75</f>
        <v/>
      </c>
      <c r="E75" s="251">
        <f>[1]預算外選單資料來源!E75</f>
        <v/>
      </c>
      <c r="F75" s="251">
        <f>[1]預算外選單資料來源!F75</f>
        <v/>
      </c>
    </row>
    <row r="76" ht="16.5" customHeight="1" s="124">
      <c r="B76" s="251">
        <f>[1]預算外選單資料來源!B76</f>
        <v/>
      </c>
      <c r="C76" s="251">
        <f>[1]預算外選單資料來源!C76</f>
        <v/>
      </c>
      <c r="D76" s="251">
        <f>[1]預算外選單資料來源!D76</f>
        <v/>
      </c>
      <c r="E76" s="251">
        <f>[1]預算外選單資料來源!E76</f>
        <v/>
      </c>
      <c r="F76" s="251">
        <f>[1]預算外選單資料來源!F76</f>
        <v/>
      </c>
    </row>
    <row r="77" ht="16.5" customHeight="1" s="124">
      <c r="B77" s="251">
        <f>[1]預算外選單資料來源!B77</f>
        <v/>
      </c>
      <c r="C77" s="251">
        <f>[1]預算外選單資料來源!C77</f>
        <v/>
      </c>
      <c r="D77" s="251">
        <f>[1]預算外選單資料來源!D77</f>
        <v/>
      </c>
      <c r="E77" s="251">
        <f>[1]預算外選單資料來源!E77</f>
        <v/>
      </c>
      <c r="F77" s="251">
        <f>[1]預算外選單資料來源!F77</f>
        <v/>
      </c>
    </row>
    <row r="78" ht="16.5" customHeight="1" s="124">
      <c r="B78" s="251">
        <f>[1]預算外選單資料來源!B78</f>
        <v/>
      </c>
      <c r="C78" s="251">
        <f>[1]預算外選單資料來源!C78</f>
        <v/>
      </c>
      <c r="D78" s="251">
        <f>[1]預算外選單資料來源!D78</f>
        <v/>
      </c>
      <c r="E78" s="251">
        <f>[1]預算外選單資料來源!E78</f>
        <v/>
      </c>
      <c r="F78" s="251">
        <f>[1]預算外選單資料來源!F78</f>
        <v/>
      </c>
    </row>
    <row r="79" ht="16.5" customHeight="1" s="124">
      <c r="B79" s="251">
        <f>[1]預算外選單資料來源!B79</f>
        <v/>
      </c>
      <c r="C79" s="251">
        <f>[1]預算外選單資料來源!C79</f>
        <v/>
      </c>
      <c r="D79" s="251">
        <f>[1]預算外選單資料來源!D79</f>
        <v/>
      </c>
      <c r="E79" s="251">
        <f>[1]預算外選單資料來源!E79</f>
        <v/>
      </c>
      <c r="F79" s="251">
        <f>[1]預算外選單資料來源!F79</f>
        <v/>
      </c>
    </row>
    <row r="80" ht="16.5" customHeight="1" s="124">
      <c r="B80" s="251">
        <f>[1]預算外選單資料來源!B80</f>
        <v/>
      </c>
      <c r="C80" s="251">
        <f>[1]預算外選單資料來源!C80</f>
        <v/>
      </c>
      <c r="D80" s="251">
        <f>[1]預算外選單資料來源!D80</f>
        <v/>
      </c>
      <c r="E80" s="251">
        <f>[1]預算外選單資料來源!E80</f>
        <v/>
      </c>
      <c r="F80" s="251">
        <f>[1]預算外選單資料來源!F80</f>
        <v/>
      </c>
    </row>
    <row r="81" ht="16.5" customHeight="1" s="124">
      <c r="B81" s="251">
        <f>[1]預算外選單資料來源!B81</f>
        <v/>
      </c>
      <c r="C81" s="251">
        <f>[1]預算外選單資料來源!C81</f>
        <v/>
      </c>
      <c r="D81" s="251">
        <f>[1]預算外選單資料來源!D81</f>
        <v/>
      </c>
      <c r="E81" s="251">
        <f>[1]預算外選單資料來源!E81</f>
        <v/>
      </c>
      <c r="F81" s="251">
        <f>[1]預算外選單資料來源!F81</f>
        <v/>
      </c>
    </row>
    <row r="82" ht="16.5" customHeight="1" s="124">
      <c r="B82" s="251">
        <f>[1]預算外選單資料來源!B82</f>
        <v/>
      </c>
      <c r="C82" s="251">
        <f>[1]預算外選單資料來源!C82</f>
        <v/>
      </c>
      <c r="D82" s="251">
        <f>[1]預算外選單資料來源!D82</f>
        <v/>
      </c>
      <c r="E82" s="251">
        <f>[1]預算外選單資料來源!E82</f>
        <v/>
      </c>
      <c r="F82" s="251">
        <f>[1]預算外選單資料來源!F82</f>
        <v/>
      </c>
    </row>
    <row r="83" ht="16.5" customHeight="1" s="124">
      <c r="B83" s="251">
        <f>[1]預算外選單資料來源!B83</f>
        <v/>
      </c>
      <c r="C83" s="251">
        <f>[1]預算外選單資料來源!C83</f>
        <v/>
      </c>
      <c r="D83" s="251">
        <f>[1]預算外選單資料來源!D83</f>
        <v/>
      </c>
      <c r="E83" s="251">
        <f>[1]預算外選單資料來源!E83</f>
        <v/>
      </c>
      <c r="F83" s="251">
        <f>[1]預算外選單資料來源!F83</f>
        <v/>
      </c>
    </row>
    <row r="84" ht="16.5" customHeight="1" s="124">
      <c r="B84" s="251">
        <f>[1]預算外選單資料來源!B84</f>
        <v/>
      </c>
      <c r="C84" s="251">
        <f>[1]預算外選單資料來源!C84</f>
        <v/>
      </c>
      <c r="D84" s="251">
        <f>[1]預算外選單資料來源!D84</f>
        <v/>
      </c>
      <c r="E84" s="251">
        <f>[1]預算外選單資料來源!E84</f>
        <v/>
      </c>
      <c r="F84" s="251">
        <f>[1]預算外選單資料來源!F84</f>
        <v/>
      </c>
    </row>
    <row r="85" ht="16.5" customHeight="1" s="124">
      <c r="B85" s="251">
        <f>[1]預算外選單資料來源!B85</f>
        <v/>
      </c>
      <c r="C85" s="251">
        <f>[1]預算外選單資料來源!C85</f>
        <v/>
      </c>
      <c r="D85" s="251">
        <f>[1]預算外選單資料來源!D85</f>
        <v/>
      </c>
      <c r="E85" s="251">
        <f>[1]預算外選單資料來源!E85</f>
        <v/>
      </c>
      <c r="F85" s="251">
        <f>[1]預算外選單資料來源!F85</f>
        <v/>
      </c>
    </row>
    <row r="86" ht="16.5" customHeight="1" s="124">
      <c r="B86" s="251">
        <f>[1]預算外選單資料來源!B86</f>
        <v/>
      </c>
      <c r="C86" s="251">
        <f>[1]預算外選單資料來源!C86</f>
        <v/>
      </c>
      <c r="D86" s="251">
        <f>[1]預算外選單資料來源!D86</f>
        <v/>
      </c>
      <c r="E86" s="251">
        <f>[1]預算外選單資料來源!E86</f>
        <v/>
      </c>
      <c r="F86" s="251">
        <f>[1]預算外選單資料來源!F86</f>
        <v/>
      </c>
    </row>
    <row r="87" ht="16.5" customHeight="1" s="124">
      <c r="B87" s="251">
        <f>[1]預算外選單資料來源!B87</f>
        <v/>
      </c>
      <c r="C87" s="251">
        <f>[1]預算外選單資料來源!C87</f>
        <v/>
      </c>
      <c r="D87" s="251">
        <f>[1]預算外選單資料來源!D87</f>
        <v/>
      </c>
      <c r="E87" s="251">
        <f>[1]預算外選單資料來源!E87</f>
        <v/>
      </c>
      <c r="F87" s="251">
        <f>[1]預算外選單資料來源!F87</f>
        <v/>
      </c>
    </row>
    <row r="88" ht="16.5" customHeight="1" s="124">
      <c r="B88" s="251">
        <f>[1]預算外選單資料來源!B88</f>
        <v/>
      </c>
      <c r="C88" s="251">
        <f>[1]預算外選單資料來源!C88</f>
        <v/>
      </c>
      <c r="D88" s="251">
        <f>[1]預算外選單資料來源!D88</f>
        <v/>
      </c>
      <c r="E88" s="251">
        <f>[1]預算外選單資料來源!E88</f>
        <v/>
      </c>
      <c r="F88" s="251">
        <f>[1]預算外選單資料來源!F88</f>
        <v/>
      </c>
    </row>
    <row r="89" ht="16.5" customHeight="1" s="124">
      <c r="B89" s="251">
        <f>[1]預算外選單資料來源!B89</f>
        <v/>
      </c>
      <c r="C89" s="251">
        <f>[1]預算外選單資料來源!C89</f>
        <v/>
      </c>
      <c r="D89" s="251">
        <f>[1]預算外選單資料來源!D89</f>
        <v/>
      </c>
      <c r="E89" s="251">
        <f>[1]預算外選單資料來源!E89</f>
        <v/>
      </c>
      <c r="F89" s="251">
        <f>[1]預算外選單資料來源!F89</f>
        <v/>
      </c>
    </row>
    <row r="90" ht="16.5" customHeight="1" s="124">
      <c r="B90" s="251">
        <f>[1]預算外選單資料來源!B90</f>
        <v/>
      </c>
      <c r="C90" s="251">
        <f>[1]預算外選單資料來源!C90</f>
        <v/>
      </c>
      <c r="D90" s="251">
        <f>[1]預算外選單資料來源!D90</f>
        <v/>
      </c>
      <c r="E90" s="251">
        <f>[1]預算外選單資料來源!E90</f>
        <v/>
      </c>
      <c r="F90" s="251">
        <f>[1]預算外選單資料來源!F90</f>
        <v/>
      </c>
    </row>
    <row r="91" ht="16.5" customHeight="1" s="124">
      <c r="B91" s="251">
        <f>[1]預算外選單資料來源!B91</f>
        <v/>
      </c>
      <c r="C91" s="251">
        <f>[1]預算外選單資料來源!C91</f>
        <v/>
      </c>
      <c r="D91" s="251">
        <f>[1]預算外選單資料來源!D91</f>
        <v/>
      </c>
      <c r="E91" s="251">
        <f>[1]預算外選單資料來源!E91</f>
        <v/>
      </c>
      <c r="F91" s="251">
        <f>[1]預算外選單資料來源!F91</f>
        <v/>
      </c>
    </row>
    <row r="92" ht="16.5" customHeight="1" s="124">
      <c r="B92" s="251">
        <f>[1]預算外選單資料來源!B92</f>
        <v/>
      </c>
      <c r="C92" s="251">
        <f>[1]預算外選單資料來源!C92</f>
        <v/>
      </c>
      <c r="D92" s="251">
        <f>[1]預算外選單資料來源!D92</f>
        <v/>
      </c>
      <c r="E92" s="251">
        <f>[1]預算外選單資料來源!E92</f>
        <v/>
      </c>
      <c r="F92" s="251">
        <f>[1]預算外選單資料來源!F92</f>
        <v/>
      </c>
    </row>
    <row r="93" ht="16.5" customHeight="1" s="124">
      <c r="B93" s="251">
        <f>[1]預算外選單資料來源!B93</f>
        <v/>
      </c>
      <c r="C93" s="251">
        <f>[1]預算外選單資料來源!C93</f>
        <v/>
      </c>
      <c r="D93" s="251">
        <f>[1]預算外選單資料來源!D93</f>
        <v/>
      </c>
      <c r="E93" s="251">
        <f>[1]預算外選單資料來源!E93</f>
        <v/>
      </c>
      <c r="F93" s="251">
        <f>[1]預算外選單資料來源!F93</f>
        <v/>
      </c>
    </row>
    <row r="94" ht="16.5" customHeight="1" s="124">
      <c r="B94" s="251">
        <f>[1]預算外選單資料來源!B94</f>
        <v/>
      </c>
      <c r="C94" s="251">
        <f>[1]預算外選單資料來源!C94</f>
        <v/>
      </c>
      <c r="D94" s="251">
        <f>[1]預算外選單資料來源!D94</f>
        <v/>
      </c>
      <c r="E94" s="251">
        <f>[1]預算外選單資料來源!E94</f>
        <v/>
      </c>
      <c r="F94" s="251">
        <f>[1]預算外選單資料來源!F94</f>
        <v/>
      </c>
    </row>
    <row r="95" ht="33" customHeight="1" s="124">
      <c r="B95" s="251">
        <f>[1]預算外選單資料來源!B95</f>
        <v/>
      </c>
      <c r="C95" s="251">
        <f>[1]預算外選單資料來源!C95</f>
        <v/>
      </c>
      <c r="D95" s="251">
        <f>[1]預算外選單資料來源!D95</f>
        <v/>
      </c>
      <c r="E95" s="251">
        <f>[1]預算外選單資料來源!E95</f>
        <v/>
      </c>
      <c r="F95" s="251">
        <f>[1]預算外選單資料來源!F95</f>
        <v/>
      </c>
    </row>
    <row r="96" ht="16.5" customHeight="1" s="124">
      <c r="B96" s="251">
        <f>[1]預算外選單資料來源!B96</f>
        <v/>
      </c>
      <c r="C96" s="251">
        <f>[1]預算外選單資料來源!C96</f>
        <v/>
      </c>
      <c r="D96" s="251">
        <f>[1]預算外選單資料來源!D96</f>
        <v/>
      </c>
      <c r="E96" s="251">
        <f>[1]預算外選單資料來源!E96</f>
        <v/>
      </c>
      <c r="F96" s="251">
        <f>[1]預算外選單資料來源!F96</f>
        <v/>
      </c>
    </row>
    <row r="97" ht="16.5" customHeight="1" s="124">
      <c r="B97" s="251">
        <f>[1]預算外選單資料來源!B97</f>
        <v/>
      </c>
      <c r="C97" s="251">
        <f>[1]預算外選單資料來源!C97</f>
        <v/>
      </c>
      <c r="D97" s="251">
        <f>[1]預算外選單資料來源!D97</f>
        <v/>
      </c>
      <c r="E97" s="251">
        <f>[1]預算外選單資料來源!E97</f>
        <v/>
      </c>
      <c r="F97" s="251">
        <f>[1]預算外選單資料來源!F97</f>
        <v/>
      </c>
    </row>
    <row r="98" ht="33" customHeight="1" s="124">
      <c r="B98" s="251">
        <f>[1]預算外選單資料來源!B98</f>
        <v/>
      </c>
      <c r="C98" s="251">
        <f>[1]預算外選單資料來源!C98</f>
        <v/>
      </c>
      <c r="D98" s="251">
        <f>[1]預算外選單資料來源!D98</f>
        <v/>
      </c>
      <c r="E98" s="251">
        <f>[1]預算外選單資料來源!E98</f>
        <v/>
      </c>
      <c r="F98" s="251">
        <f>[1]預算外選單資料來源!F98</f>
        <v/>
      </c>
    </row>
    <row r="99" ht="16.5" customHeight="1" s="124">
      <c r="B99" s="251">
        <f>[1]預算外選單資料來源!B99</f>
        <v/>
      </c>
      <c r="C99" s="251">
        <f>[1]預算外選單資料來源!C99</f>
        <v/>
      </c>
      <c r="D99" s="251">
        <f>[1]預算外選單資料來源!D99</f>
        <v/>
      </c>
      <c r="E99" s="251">
        <f>[1]預算外選單資料來源!E99</f>
        <v/>
      </c>
      <c r="F99" s="251">
        <f>[1]預算外選單資料來源!F99</f>
        <v/>
      </c>
    </row>
    <row r="100" ht="16.5" customHeight="1" s="124">
      <c r="B100" s="251">
        <f>[1]預算外選單資料來源!B100</f>
        <v/>
      </c>
      <c r="C100" s="251">
        <f>[1]預算外選單資料來源!C100</f>
        <v/>
      </c>
      <c r="D100" s="251">
        <f>[1]預算外選單資料來源!D100</f>
        <v/>
      </c>
      <c r="E100" s="251">
        <f>[1]預算外選單資料來源!E100</f>
        <v/>
      </c>
      <c r="F100" s="251">
        <f>[1]預算外選單資料來源!F100</f>
        <v/>
      </c>
    </row>
    <row r="101" ht="16.5" customHeight="1" s="124">
      <c r="B101" s="251">
        <f>[1]預算外選單資料來源!B101</f>
        <v/>
      </c>
      <c r="C101" s="251">
        <f>[1]預算外選單資料來源!C101</f>
        <v/>
      </c>
      <c r="D101" s="251">
        <f>[1]預算外選單資料來源!D101</f>
        <v/>
      </c>
      <c r="E101" s="251">
        <f>[1]預算外選單資料來源!E101</f>
        <v/>
      </c>
      <c r="F101" s="251">
        <f>[1]預算外選單資料來源!F101</f>
        <v/>
      </c>
    </row>
    <row r="102" ht="16.5" customHeight="1" s="124">
      <c r="B102" s="251">
        <f>[1]預算外選單資料來源!B102</f>
        <v/>
      </c>
      <c r="C102" s="251">
        <f>[1]預算外選單資料來源!C102</f>
        <v/>
      </c>
      <c r="D102" s="251">
        <f>[1]預算外選單資料來源!D102</f>
        <v/>
      </c>
      <c r="E102" s="251">
        <f>[1]預算外選單資料來源!E102</f>
        <v/>
      </c>
      <c r="F102" s="251">
        <f>[1]預算外選單資料來源!F102</f>
        <v/>
      </c>
    </row>
    <row r="103" ht="16.5" customHeight="1" s="124">
      <c r="B103" s="251">
        <f>[1]預算外選單資料來源!B103</f>
        <v/>
      </c>
      <c r="C103" s="251">
        <f>[1]預算外選單資料來源!C103</f>
        <v/>
      </c>
      <c r="D103" s="251">
        <f>[1]預算外選單資料來源!D103</f>
        <v/>
      </c>
      <c r="E103" s="251">
        <f>[1]預算外選單資料來源!E103</f>
        <v/>
      </c>
      <c r="F103" s="251">
        <f>[1]預算外選單資料來源!F103</f>
        <v/>
      </c>
    </row>
    <row r="104" ht="16.5" customHeight="1" s="124">
      <c r="B104" s="251">
        <f>[1]預算外選單資料來源!B104</f>
        <v/>
      </c>
      <c r="C104" s="251">
        <f>[1]預算外選單資料來源!C104</f>
        <v/>
      </c>
      <c r="D104" s="251">
        <f>[1]預算外選單資料來源!D104</f>
        <v/>
      </c>
      <c r="E104" s="251">
        <f>[1]預算外選單資料來源!E104</f>
        <v/>
      </c>
      <c r="F104" s="251">
        <f>[1]預算外選單資料來源!F104</f>
        <v/>
      </c>
    </row>
    <row r="105" ht="33" customHeight="1" s="124">
      <c r="B105" s="251">
        <f>[1]預算外選單資料來源!B105</f>
        <v/>
      </c>
      <c r="C105" s="251">
        <f>[1]預算外選單資料來源!C105</f>
        <v/>
      </c>
      <c r="D105" s="251">
        <f>[1]預算外選單資料來源!D105</f>
        <v/>
      </c>
      <c r="E105" s="251">
        <f>[1]預算外選單資料來源!E105</f>
        <v/>
      </c>
      <c r="F105" s="251">
        <f>[1]預算外選單資料來源!F105</f>
        <v/>
      </c>
    </row>
    <row r="106" ht="16.5" customHeight="1" s="124">
      <c r="B106" s="251">
        <f>[1]預算外選單資料來源!B106</f>
        <v/>
      </c>
      <c r="C106" s="251">
        <f>[1]預算外選單資料來源!C106</f>
        <v/>
      </c>
      <c r="D106" s="251">
        <f>[1]預算外選單資料來源!D106</f>
        <v/>
      </c>
      <c r="E106" s="251">
        <f>[1]預算外選單資料來源!E106</f>
        <v/>
      </c>
      <c r="F106" s="251">
        <f>[1]預算外選單資料來源!F106</f>
        <v/>
      </c>
    </row>
    <row r="107" ht="33" customHeight="1" s="124">
      <c r="B107" s="251">
        <f>[1]預算外選單資料來源!B107</f>
        <v/>
      </c>
      <c r="C107" s="251">
        <f>[1]預算外選單資料來源!C107</f>
        <v/>
      </c>
      <c r="D107" s="251">
        <f>[1]預算外選單資料來源!D107</f>
        <v/>
      </c>
      <c r="E107" s="251">
        <f>[1]預算外選單資料來源!E107</f>
        <v/>
      </c>
      <c r="F107" s="251">
        <f>[1]預算外選單資料來源!F107</f>
        <v/>
      </c>
    </row>
    <row r="108" ht="33" customHeight="1" s="124">
      <c r="B108" s="251">
        <f>[1]預算外選單資料來源!B108</f>
        <v/>
      </c>
      <c r="C108" s="251">
        <f>[1]預算外選單資料來源!C108</f>
        <v/>
      </c>
      <c r="D108" s="251">
        <f>[1]預算外選單資料來源!D108</f>
        <v/>
      </c>
      <c r="E108" s="251">
        <f>[1]預算外選單資料來源!E108</f>
        <v/>
      </c>
      <c r="F108" s="251">
        <f>[1]預算外選單資料來源!F108</f>
        <v/>
      </c>
    </row>
    <row r="109" ht="16.5" customHeight="1" s="124">
      <c r="B109" s="260" t="inlineStr">
        <is>
          <t>G00001關懷動物生命教育</t>
        </is>
      </c>
      <c r="C109" s="251">
        <f>[1]預算外選單資料來源!C109</f>
        <v/>
      </c>
      <c r="D109" s="251">
        <f>[1]預算外選單資料來源!D109</f>
        <v/>
      </c>
      <c r="E109" s="251">
        <f>[1]預算外選單資料來源!E109</f>
        <v/>
      </c>
      <c r="F109" s="251">
        <f>[1]預算外選單資料來源!F109</f>
        <v/>
      </c>
    </row>
    <row r="110" ht="33" customHeight="1" s="124">
      <c r="B110" s="251">
        <f>[1]預算外選單資料來源!B110</f>
        <v/>
      </c>
      <c r="C110" s="251">
        <f>[1]預算外選單資料來源!C110</f>
        <v/>
      </c>
      <c r="D110" s="251">
        <f>[1]預算外選單資料來源!D110</f>
        <v/>
      </c>
      <c r="E110" s="251">
        <f>[1]預算外選單資料來源!E110</f>
        <v/>
      </c>
      <c r="F110" s="251">
        <f>[1]預算外選單資料來源!F110</f>
        <v/>
      </c>
    </row>
    <row r="111" ht="16.5" customHeight="1" s="124">
      <c r="B111" s="251">
        <f>[1]預算外選單資料來源!B111</f>
        <v/>
      </c>
      <c r="C111" s="251">
        <f>[1]預算外選單資料來源!C111</f>
        <v/>
      </c>
      <c r="D111" s="251">
        <f>[1]預算外選單資料來源!D111</f>
        <v/>
      </c>
      <c r="E111" s="251">
        <f>[1]預算外選單資料來源!E111</f>
        <v/>
      </c>
      <c r="F111" s="251">
        <f>[1]預算外選單資料來源!F111</f>
        <v/>
      </c>
    </row>
    <row r="112" ht="33" customHeight="1" s="124">
      <c r="B112" s="251">
        <f>[1]預算外選單資料來源!B112</f>
        <v/>
      </c>
      <c r="C112" s="251">
        <f>[1]預算外選單資料來源!C112</f>
        <v/>
      </c>
      <c r="D112" s="251">
        <f>[1]預算外選單資料來源!D112</f>
        <v/>
      </c>
      <c r="E112" s="251">
        <f>[1]預算外選單資料來源!E112</f>
        <v/>
      </c>
      <c r="F112" s="251">
        <f>[1]預算外選單資料來源!F112</f>
        <v/>
      </c>
    </row>
    <row r="113" ht="16.5" customHeight="1" s="124">
      <c r="B113" s="251">
        <f>[1]預算外選單資料來源!B113</f>
        <v/>
      </c>
      <c r="C113" s="251">
        <f>[1]預算外選單資料來源!C113</f>
        <v/>
      </c>
      <c r="D113" s="251">
        <f>[1]預算外選單資料來源!D113</f>
        <v/>
      </c>
      <c r="E113" s="251">
        <f>[1]預算外選單資料來源!E113</f>
        <v/>
      </c>
      <c r="F113" s="251">
        <f>[1]預算外選單資料來源!F113</f>
        <v/>
      </c>
    </row>
    <row r="114" ht="16.5" customHeight="1" s="124">
      <c r="B114" s="251">
        <f>[1]預算外選單資料來源!B114</f>
        <v/>
      </c>
      <c r="C114" s="251">
        <f>[1]預算外選單資料來源!C114</f>
        <v/>
      </c>
      <c r="D114" s="251">
        <f>[1]預算外選單資料來源!D114</f>
        <v/>
      </c>
      <c r="E114" s="251">
        <f>[1]預算外選單資料來源!E114</f>
        <v/>
      </c>
      <c r="F114" s="251">
        <f>[1]預算外選單資料來源!F114</f>
        <v/>
      </c>
    </row>
    <row r="115" ht="16.5" customHeight="1" s="124">
      <c r="B115" s="251">
        <f>[1]預算外選單資料來源!B115</f>
        <v/>
      </c>
      <c r="C115" s="251">
        <f>[1]預算外選單資料來源!C115</f>
        <v/>
      </c>
      <c r="D115" s="251">
        <f>[1]預算外選單資料來源!D115</f>
        <v/>
      </c>
      <c r="E115" s="251">
        <f>[1]預算外選單資料來源!E115</f>
        <v/>
      </c>
      <c r="F115" s="251">
        <f>[1]預算外選單資料來源!F115</f>
        <v/>
      </c>
    </row>
    <row r="116" ht="16.5" customHeight="1" s="124">
      <c r="B116" s="251">
        <f>[1]預算外選單資料來源!B116</f>
        <v/>
      </c>
      <c r="C116" s="251">
        <f>[1]預算外選單資料來源!C116</f>
        <v/>
      </c>
      <c r="D116" s="251">
        <f>[1]預算外選單資料來源!D116</f>
        <v/>
      </c>
      <c r="E116" s="251">
        <f>[1]預算外選單資料來源!E116</f>
        <v/>
      </c>
      <c r="F116" s="251">
        <f>[1]預算外選單資料來源!F116</f>
        <v/>
      </c>
    </row>
    <row r="117" ht="33" customHeight="1" s="124">
      <c r="B117" s="251">
        <f>[1]預算外選單資料來源!B117</f>
        <v/>
      </c>
      <c r="C117" s="251">
        <f>[1]預算外選單資料來源!C117</f>
        <v/>
      </c>
      <c r="D117" s="251">
        <f>[1]預算外選單資料來源!D117</f>
        <v/>
      </c>
      <c r="E117" s="251">
        <f>[1]預算外選單資料來源!E117</f>
        <v/>
      </c>
      <c r="F117" s="251">
        <f>[1]預算外選單資料來源!F117</f>
        <v/>
      </c>
    </row>
    <row r="118" ht="16.5" customHeight="1" s="124">
      <c r="B118" s="251">
        <f>[1]預算外選單資料來源!B118</f>
        <v/>
      </c>
      <c r="C118" s="251">
        <f>[1]預算外選單資料來源!C118</f>
        <v/>
      </c>
      <c r="D118" s="251">
        <f>[1]預算外選單資料來源!D118</f>
        <v/>
      </c>
      <c r="E118" s="251">
        <f>[1]預算外選單資料來源!E118</f>
        <v/>
      </c>
      <c r="F118" s="251">
        <f>[1]預算外選單資料來源!F118</f>
        <v/>
      </c>
    </row>
    <row r="119" ht="16.5" customHeight="1" s="124">
      <c r="B119" s="251">
        <f>[1]預算外選單資料來源!B119</f>
        <v/>
      </c>
      <c r="C119" s="251">
        <f>[1]預算外選單資料來源!C119</f>
        <v/>
      </c>
      <c r="D119" s="251">
        <f>[1]預算外選單資料來源!D119</f>
        <v/>
      </c>
      <c r="E119" s="251">
        <f>[1]預算外選單資料來源!E119</f>
        <v/>
      </c>
      <c r="F119" s="251">
        <f>[1]預算外選單資料來源!F119</f>
        <v/>
      </c>
    </row>
    <row r="120" ht="16.5" customHeight="1" s="124">
      <c r="B120" s="251">
        <f>[1]預算外選單資料來源!B120</f>
        <v/>
      </c>
      <c r="C120" s="251">
        <f>[1]預算外選單資料來源!C120</f>
        <v/>
      </c>
      <c r="D120" s="251">
        <f>[1]預算外選單資料來源!D120</f>
        <v/>
      </c>
      <c r="E120" s="251">
        <f>[1]預算外選單資料來源!E120</f>
        <v/>
      </c>
      <c r="F120" s="251">
        <f>[1]預算外選單資料來源!F120</f>
        <v/>
      </c>
    </row>
    <row r="121" ht="33" customHeight="1" s="124">
      <c r="B121" s="251">
        <f>[1]預算外選單資料來源!B121</f>
        <v/>
      </c>
      <c r="C121" s="251">
        <f>[1]預算外選單資料來源!C121</f>
        <v/>
      </c>
      <c r="D121" s="251">
        <f>[1]預算外選單資料來源!D121</f>
        <v/>
      </c>
      <c r="E121" s="251">
        <f>[1]預算外選單資料來源!E121</f>
        <v/>
      </c>
      <c r="F121" s="251">
        <f>[1]預算外選單資料來源!F121</f>
        <v/>
      </c>
    </row>
    <row r="122" ht="16.5" customHeight="1" s="124">
      <c r="B122" s="251">
        <f>[1]預算外選單資料來源!B122</f>
        <v/>
      </c>
      <c r="C122" s="251">
        <f>[1]預算外選單資料來源!C122</f>
        <v/>
      </c>
      <c r="D122" s="251">
        <f>[1]預算外選單資料來源!D122</f>
        <v/>
      </c>
      <c r="E122" s="251">
        <f>[1]預算外選單資料來源!E122</f>
        <v/>
      </c>
      <c r="F122" s="251">
        <f>[1]預算外選單資料來源!F122</f>
        <v/>
      </c>
    </row>
    <row r="123" ht="33" customHeight="1" s="124">
      <c r="B123" s="251">
        <f>[1]預算外選單資料來源!B123</f>
        <v/>
      </c>
      <c r="C123" s="251">
        <f>[1]預算外選單資料來源!C123</f>
        <v/>
      </c>
      <c r="D123" s="251">
        <f>[1]預算外選單資料來源!D123</f>
        <v/>
      </c>
      <c r="E123" s="251">
        <f>[1]預算外選單資料來源!E123</f>
        <v/>
      </c>
      <c r="F123" s="251">
        <f>[1]預算外選單資料來源!F123</f>
        <v/>
      </c>
    </row>
    <row r="124" ht="16.5" customHeight="1" s="124">
      <c r="B124" s="251">
        <f>[1]預算外選單資料來源!B124</f>
        <v/>
      </c>
      <c r="C124" s="251">
        <f>[1]預算外選單資料來源!C124</f>
        <v/>
      </c>
      <c r="D124" s="251">
        <f>[1]預算外選單資料來源!D124</f>
        <v/>
      </c>
      <c r="E124" s="251">
        <f>[1]預算外選單資料來源!E124</f>
        <v/>
      </c>
      <c r="F124" s="251">
        <f>[1]預算外選單資料來源!F124</f>
        <v/>
      </c>
    </row>
    <row r="125" ht="16.5" customHeight="1" s="124">
      <c r="B125" s="251">
        <f>[1]預算外選單資料來源!B125</f>
        <v/>
      </c>
      <c r="C125" s="251">
        <f>[1]預算外選單資料來源!C125</f>
        <v/>
      </c>
      <c r="D125" s="251">
        <f>[1]預算外選單資料來源!D125</f>
        <v/>
      </c>
      <c r="E125" s="251">
        <f>[1]預算外選單資料來源!E125</f>
        <v/>
      </c>
      <c r="F125" s="251">
        <f>[1]預算外選單資料來源!F125</f>
        <v/>
      </c>
    </row>
    <row r="126" ht="16.5" customHeight="1" s="124">
      <c r="B126" s="251">
        <f>[1]預算外選單資料來源!B126</f>
        <v/>
      </c>
      <c r="C126" s="251">
        <f>[1]預算外選單資料來源!C126</f>
        <v/>
      </c>
      <c r="D126" s="251">
        <f>[1]預算外選單資料來源!D126</f>
        <v/>
      </c>
      <c r="E126" s="251">
        <f>[1]預算外選單資料來源!E126</f>
        <v/>
      </c>
      <c r="F126" s="251">
        <f>[1]預算外選單資料來源!F126</f>
        <v/>
      </c>
    </row>
    <row r="127" ht="33" customHeight="1" s="124">
      <c r="B127" s="260" t="inlineStr">
        <is>
          <t>H00003 原住民族語教學支援工作人員交通費</t>
        </is>
      </c>
      <c r="C127" s="251">
        <f>[1]預算外選單資料來源!C127</f>
        <v/>
      </c>
      <c r="D127" s="251">
        <f>[1]預算外選單資料來源!D127</f>
        <v/>
      </c>
      <c r="E127" s="251">
        <f>[1]預算外選單資料來源!E127</f>
        <v/>
      </c>
      <c r="F127" s="251">
        <f>[1]預算外選單資料來源!F127</f>
        <v/>
      </c>
    </row>
    <row r="128" ht="16.5" customHeight="1" s="124">
      <c r="B128" s="251">
        <f>[1]預算外選單資料來源!B128</f>
        <v/>
      </c>
      <c r="C128" s="251">
        <f>[1]預算外選單資料來源!C128</f>
        <v/>
      </c>
      <c r="D128" s="251">
        <f>[1]預算外選單資料來源!D128</f>
        <v/>
      </c>
      <c r="E128" s="251">
        <f>[1]預算外選單資料來源!E128</f>
        <v/>
      </c>
      <c r="F128" s="251">
        <f>[1]預算外選單資料來源!F128</f>
        <v/>
      </c>
    </row>
    <row r="129" ht="33" customHeight="1" s="124">
      <c r="B129" s="251">
        <f>[1]預算外選單資料來源!B129</f>
        <v/>
      </c>
      <c r="C129" s="251">
        <f>[1]預算外選單資料來源!C129</f>
        <v/>
      </c>
      <c r="D129" s="251">
        <f>[1]預算外選單資料來源!D129</f>
        <v/>
      </c>
      <c r="E129" s="251">
        <f>[1]預算外選單資料來源!E129</f>
        <v/>
      </c>
      <c r="F129" s="251">
        <f>[1]預算外選單資料來源!F129</f>
        <v/>
      </c>
    </row>
    <row r="130" ht="16.5" customHeight="1" s="124">
      <c r="B130" s="251">
        <f>[1]預算外選單資料來源!B130</f>
        <v/>
      </c>
      <c r="C130" s="251">
        <f>[1]預算外選單資料來源!C130</f>
        <v/>
      </c>
      <c r="D130" s="251">
        <f>[1]預算外選單資料來源!D130</f>
        <v/>
      </c>
      <c r="E130" s="251">
        <f>[1]預算外選單資料來源!E130</f>
        <v/>
      </c>
      <c r="F130" s="251">
        <f>[1]預算外選單資料來源!F130</f>
        <v/>
      </c>
    </row>
    <row r="131" ht="16.5" customHeight="1" s="124">
      <c r="B131" s="251">
        <f>[1]預算外選單資料來源!B131</f>
        <v/>
      </c>
      <c r="C131" s="251">
        <f>[1]預算外選單資料來源!C131</f>
        <v/>
      </c>
      <c r="D131" s="251">
        <f>[1]預算外選單資料來源!D131</f>
        <v/>
      </c>
      <c r="E131" s="251">
        <f>[1]預算外選單資料來源!E131</f>
        <v/>
      </c>
      <c r="F131" s="251">
        <f>[1]預算外選單資料來源!F131</f>
        <v/>
      </c>
    </row>
    <row r="132" ht="16.5" customHeight="1" s="124">
      <c r="B132" s="251">
        <f>[1]預算外選單資料來源!B132</f>
        <v/>
      </c>
      <c r="C132" s="251">
        <f>[1]預算外選單資料來源!C132</f>
        <v/>
      </c>
      <c r="D132" s="251">
        <f>[1]預算外選單資料來源!D132</f>
        <v/>
      </c>
      <c r="E132" s="251">
        <f>[1]預算外選單資料來源!E132</f>
        <v/>
      </c>
      <c r="F132" s="251">
        <f>[1]預算外選單資料來源!F132</f>
        <v/>
      </c>
    </row>
    <row r="133" ht="16.5" customHeight="1" s="124">
      <c r="B133" s="251">
        <f>[1]預算外選單資料來源!B133</f>
        <v/>
      </c>
      <c r="C133" s="251">
        <f>[1]預算外選單資料來源!C133</f>
        <v/>
      </c>
      <c r="D133" s="251">
        <f>[1]預算外選單資料來源!D133</f>
        <v/>
      </c>
      <c r="E133" s="251">
        <f>[1]預算外選單資料來源!E133</f>
        <v/>
      </c>
      <c r="F133" s="251">
        <f>[1]預算外選單資料來源!F133</f>
        <v/>
      </c>
    </row>
    <row r="134" ht="16.5" customHeight="1" s="124">
      <c r="B134" s="251">
        <f>[1]預算外選單資料來源!B134</f>
        <v/>
      </c>
      <c r="C134" s="251">
        <f>[1]預算外選單資料來源!C134</f>
        <v/>
      </c>
      <c r="D134" s="251">
        <f>[1]預算外選單資料來源!D134</f>
        <v/>
      </c>
      <c r="E134" s="251">
        <f>[1]預算外選單資料來源!E134</f>
        <v/>
      </c>
      <c r="F134" s="251">
        <f>[1]預算外選單資料來源!F134</f>
        <v/>
      </c>
    </row>
    <row r="135" ht="16.5" customHeight="1" s="124">
      <c r="B135" s="251">
        <f>[1]預算外選單資料來源!B135</f>
        <v/>
      </c>
      <c r="C135" s="251">
        <f>[1]預算外選單資料來源!C135</f>
        <v/>
      </c>
      <c r="D135" s="251">
        <f>[1]預算外選單資料來源!D135</f>
        <v/>
      </c>
      <c r="E135" s="251">
        <f>[1]預算外選單資料來源!E135</f>
        <v/>
      </c>
      <c r="F135" s="251">
        <f>[1]預算外選單資料來源!F135</f>
        <v/>
      </c>
    </row>
    <row r="136" ht="16.5" customHeight="1" s="124">
      <c r="B136" s="251">
        <f>[1]預算外選單資料來源!B136</f>
        <v/>
      </c>
      <c r="C136" s="251">
        <f>[1]預算外選單資料來源!C136</f>
        <v/>
      </c>
      <c r="D136" s="251">
        <f>[1]預算外選單資料來源!D136</f>
        <v/>
      </c>
      <c r="E136" s="251">
        <f>[1]預算外選單資料來源!E136</f>
        <v/>
      </c>
      <c r="F136" s="251">
        <f>[1]預算外選單資料來源!F136</f>
        <v/>
      </c>
    </row>
    <row r="137" ht="16.5" customHeight="1" s="124">
      <c r="B137" s="251">
        <f>[1]預算外選單資料來源!B137</f>
        <v/>
      </c>
      <c r="C137" s="251">
        <f>[1]預算外選單資料來源!C137</f>
        <v/>
      </c>
      <c r="D137" s="251">
        <f>[1]預算外選單資料來源!D137</f>
        <v/>
      </c>
      <c r="E137" s="251">
        <f>[1]預算外選單資料來源!E137</f>
        <v/>
      </c>
      <c r="F137" s="251">
        <f>[1]預算外選單資料來源!F137</f>
        <v/>
      </c>
    </row>
    <row r="138" ht="16.5" customHeight="1" s="124">
      <c r="B138" s="251">
        <f>[1]預算外選單資料來源!B138</f>
        <v/>
      </c>
      <c r="C138" s="251">
        <f>[1]預算外選單資料來源!C138</f>
        <v/>
      </c>
      <c r="D138" s="251">
        <f>[1]預算外選單資料來源!D138</f>
        <v/>
      </c>
      <c r="E138" s="251">
        <f>[1]預算外選單資料來源!E138</f>
        <v/>
      </c>
      <c r="F138" s="251">
        <f>[1]預算外選單資料來源!F138</f>
        <v/>
      </c>
    </row>
    <row r="139" ht="16.5" customHeight="1" s="124">
      <c r="B139" s="251">
        <f>[1]預算外選單資料來源!B139</f>
        <v/>
      </c>
      <c r="C139" s="251">
        <f>[1]預算外選單資料來源!C139</f>
        <v/>
      </c>
      <c r="D139" s="251">
        <f>[1]預算外選單資料來源!D139</f>
        <v/>
      </c>
      <c r="E139" s="251">
        <f>[1]預算外選單資料來源!E139</f>
        <v/>
      </c>
      <c r="F139" s="251">
        <f>[1]預算外選單資料來源!F139</f>
        <v/>
      </c>
    </row>
    <row r="140" ht="22.9" customHeight="1" s="124">
      <c r="B140" s="251">
        <f>[1]預算外選單資料來源!B140</f>
        <v/>
      </c>
      <c r="C140" s="251">
        <f>[1]預算外選單資料來源!C140</f>
        <v/>
      </c>
      <c r="D140" s="251">
        <f>[1]預算外選單資料來源!D140</f>
        <v/>
      </c>
      <c r="E140" s="251">
        <f>[1]預算外選單資料來源!E140</f>
        <v/>
      </c>
      <c r="F140" s="251">
        <f>[1]預算外選單資料來源!F140</f>
        <v/>
      </c>
    </row>
    <row r="141" ht="16.5" customHeight="1" s="124">
      <c r="B141" s="251">
        <f>[1]預算外選單資料來源!B141</f>
        <v/>
      </c>
      <c r="C141" s="251">
        <f>[1]預算外選單資料來源!C141</f>
        <v/>
      </c>
      <c r="D141" s="251">
        <f>[1]預算外選單資料來源!D141</f>
        <v/>
      </c>
      <c r="E141" s="251">
        <f>[1]預算外選單資料來源!E141</f>
        <v/>
      </c>
      <c r="F141" s="251">
        <f>[1]預算外選單資料來源!F141</f>
        <v/>
      </c>
    </row>
    <row r="142" ht="23.45" customHeight="1" s="124">
      <c r="B142" s="251">
        <f>[1]預算外選單資料來源!B142</f>
        <v/>
      </c>
      <c r="C142" s="251">
        <f>[1]預算外選單資料來源!C142</f>
        <v/>
      </c>
      <c r="D142" s="251">
        <f>[1]預算外選單資料來源!D142</f>
        <v/>
      </c>
      <c r="E142" s="251">
        <f>[1]預算外選單資料來源!E142</f>
        <v/>
      </c>
      <c r="F142" s="251">
        <f>[1]預算外選單資料來源!F142</f>
        <v/>
      </c>
    </row>
    <row r="143" ht="16.5" customHeight="1" s="124">
      <c r="B143" s="251">
        <f>[1]預算外選單資料來源!B143</f>
        <v/>
      </c>
      <c r="C143" s="251">
        <f>[1]預算外選單資料來源!C143</f>
        <v/>
      </c>
      <c r="D143" s="251">
        <f>[1]預算外選單資料來源!D143</f>
        <v/>
      </c>
      <c r="E143" s="251">
        <f>[1]預算外選單資料來源!E143</f>
        <v/>
      </c>
      <c r="F143" s="251">
        <f>[1]預算外選單資料來源!F143</f>
        <v/>
      </c>
    </row>
    <row r="144" ht="33" customHeight="1" s="124">
      <c r="B144" s="251">
        <f>[1]預算外選單資料來源!B144</f>
        <v/>
      </c>
      <c r="C144" s="251">
        <f>[1]預算外選單資料來源!C144</f>
        <v/>
      </c>
      <c r="D144" s="251">
        <f>[1]預算外選單資料來源!D144</f>
        <v/>
      </c>
      <c r="E144" s="251">
        <f>[1]預算外選單資料來源!E144</f>
        <v/>
      </c>
      <c r="F144" s="251">
        <f>[1]預算外選單資料來源!F144</f>
        <v/>
      </c>
    </row>
    <row r="145" ht="16.5" customHeight="1" s="124">
      <c r="B145" s="251">
        <f>[1]預算外選單資料來源!B145</f>
        <v/>
      </c>
      <c r="C145" s="251">
        <f>[1]預算外選單資料來源!C145</f>
        <v/>
      </c>
      <c r="D145" s="251">
        <f>[1]預算外選單資料來源!D145</f>
        <v/>
      </c>
      <c r="E145" s="251">
        <f>[1]預算外選單資料來源!E145</f>
        <v/>
      </c>
      <c r="F145" s="251">
        <f>[1]預算外選單資料來源!F145</f>
        <v/>
      </c>
    </row>
    <row r="146" ht="16.5" customHeight="1" s="124">
      <c r="B146" s="251">
        <f>[1]預算外選單資料來源!B146</f>
        <v/>
      </c>
      <c r="C146" s="251">
        <f>[1]預算外選單資料來源!C146</f>
        <v/>
      </c>
      <c r="D146" s="251">
        <f>[1]預算外選單資料來源!D146</f>
        <v/>
      </c>
      <c r="E146" s="251">
        <f>[1]預算外選單資料來源!E146</f>
        <v/>
      </c>
      <c r="F146" s="251">
        <f>[1]預算外選單資料來源!F146</f>
        <v/>
      </c>
    </row>
    <row r="147" ht="16.5" customHeight="1" s="124">
      <c r="B147" s="251">
        <f>[1]預算外選單資料來源!B147</f>
        <v/>
      </c>
      <c r="C147" s="251">
        <f>[1]預算外選單資料來源!C147</f>
        <v/>
      </c>
      <c r="D147" s="251">
        <f>[1]預算外選單資料來源!D147</f>
        <v/>
      </c>
      <c r="E147" s="251">
        <f>[1]預算外選單資料來源!E147</f>
        <v/>
      </c>
      <c r="F147" s="251">
        <f>[1]預算外選單資料來源!F147</f>
        <v/>
      </c>
    </row>
    <row r="148" ht="16.5" customHeight="1" s="124">
      <c r="B148" s="251">
        <f>[1]預算外選單資料來源!B148</f>
        <v/>
      </c>
      <c r="C148" s="251">
        <f>[1]預算外選單資料來源!C148</f>
        <v/>
      </c>
      <c r="D148" s="251">
        <f>[1]預算外選單資料來源!D148</f>
        <v/>
      </c>
      <c r="E148" s="251">
        <f>[1]預算外選單資料來源!E148</f>
        <v/>
      </c>
      <c r="F148" s="251">
        <f>[1]預算外選單資料來源!F148</f>
        <v/>
      </c>
    </row>
    <row r="149" ht="16.5" customHeight="1" s="124">
      <c r="B149" s="251">
        <f>[1]預算外選單資料來源!B149</f>
        <v/>
      </c>
      <c r="C149" s="251">
        <f>[1]預算外選單資料來源!C149</f>
        <v/>
      </c>
      <c r="D149" s="251">
        <f>[1]預算外選單資料來源!D149</f>
        <v/>
      </c>
      <c r="E149" s="251">
        <f>[1]預算外選單資料來源!E149</f>
        <v/>
      </c>
      <c r="F149" s="251">
        <f>[1]預算外選單資料來源!F149</f>
        <v/>
      </c>
    </row>
    <row r="150" ht="16.5" customHeight="1" s="124">
      <c r="B150" s="251">
        <f>[1]預算外選單資料來源!B150</f>
        <v/>
      </c>
      <c r="C150" s="251">
        <f>[1]預算外選單資料來源!C150</f>
        <v/>
      </c>
      <c r="D150" s="251">
        <f>[1]預算外選單資料來源!D150</f>
        <v/>
      </c>
      <c r="E150" s="251">
        <f>[1]預算外選單資料來源!E150</f>
        <v/>
      </c>
      <c r="F150" s="251">
        <f>[1]預算外選單資料來源!F150</f>
        <v/>
      </c>
    </row>
    <row r="151" ht="16.5" customHeight="1" s="124">
      <c r="B151" s="251">
        <f>[1]預算外選單資料來源!B151</f>
        <v/>
      </c>
      <c r="C151" s="251">
        <f>[1]預算外選單資料來源!C151</f>
        <v/>
      </c>
      <c r="D151" s="251">
        <f>[1]預算外選單資料來源!D151</f>
        <v/>
      </c>
      <c r="E151" s="251">
        <f>[1]預算外選單資料來源!E151</f>
        <v/>
      </c>
      <c r="F151" s="251">
        <f>[1]預算外選單資料來源!F151</f>
        <v/>
      </c>
    </row>
    <row r="152" ht="16.5" customHeight="1" s="124">
      <c r="B152" s="251">
        <f>[1]預算外選單資料來源!B152</f>
        <v/>
      </c>
      <c r="C152" s="251">
        <f>[1]預算外選單資料來源!C152</f>
        <v/>
      </c>
      <c r="D152" s="251">
        <f>[1]預算外選單資料來源!D152</f>
        <v/>
      </c>
      <c r="E152" s="251">
        <f>[1]預算外選單資料來源!E152</f>
        <v/>
      </c>
      <c r="F152" s="251">
        <f>[1]預算外選單資料來源!F152</f>
        <v/>
      </c>
    </row>
    <row r="153" ht="16.5" customHeight="1" s="124">
      <c r="B153" s="251">
        <f>[1]預算外選單資料來源!B153</f>
        <v/>
      </c>
      <c r="C153" s="251">
        <f>[1]預算外選單資料來源!C153</f>
        <v/>
      </c>
      <c r="D153" s="251">
        <f>[1]預算外選單資料來源!D153</f>
        <v/>
      </c>
      <c r="E153" s="251">
        <f>[1]預算外選單資料來源!E153</f>
        <v/>
      </c>
      <c r="F153" s="251">
        <f>[1]預算外選單資料來源!F153</f>
        <v/>
      </c>
    </row>
    <row r="154" ht="16.5" customHeight="1" s="124">
      <c r="B154" s="251">
        <f>[1]預算外選單資料來源!B154</f>
        <v/>
      </c>
      <c r="C154" s="251">
        <f>[1]預算外選單資料來源!C154</f>
        <v/>
      </c>
      <c r="D154" s="251">
        <f>[1]預算外選單資料來源!D154</f>
        <v/>
      </c>
      <c r="E154" s="251">
        <f>[1]預算外選單資料來源!E154</f>
        <v/>
      </c>
      <c r="F154" s="251">
        <f>[1]預算外選單資料來源!F154</f>
        <v/>
      </c>
    </row>
    <row r="155" ht="16.5" customHeight="1" s="124">
      <c r="B155" s="251">
        <f>[1]預算外選單資料來源!B155</f>
        <v/>
      </c>
      <c r="C155" s="251">
        <f>[1]預算外選單資料來源!C155</f>
        <v/>
      </c>
      <c r="D155" s="251">
        <f>[1]預算外選單資料來源!D155</f>
        <v/>
      </c>
      <c r="E155" s="251">
        <f>[1]預算外選單資料來源!E155</f>
        <v/>
      </c>
      <c r="F155" s="251">
        <f>[1]預算外選單資料來源!F155</f>
        <v/>
      </c>
    </row>
    <row r="156" ht="16.5" customHeight="1" s="124">
      <c r="B156" s="251">
        <f>[1]預算外選單資料來源!B156</f>
        <v/>
      </c>
      <c r="C156" s="251">
        <f>[1]預算外選單資料來源!C156</f>
        <v/>
      </c>
      <c r="D156" s="251">
        <f>[1]預算外選單資料來源!D156</f>
        <v/>
      </c>
      <c r="E156" s="251">
        <f>[1]預算外選單資料來源!E156</f>
        <v/>
      </c>
      <c r="F156" s="251">
        <f>[1]預算外選單資料來源!F156</f>
        <v/>
      </c>
    </row>
    <row r="157" ht="16.5" customHeight="1" s="124">
      <c r="B157" s="251">
        <f>[1]預算外選單資料來源!B157</f>
        <v/>
      </c>
      <c r="C157" s="251">
        <f>[1]預算外選單資料來源!C157</f>
        <v/>
      </c>
      <c r="D157" s="251">
        <f>[1]預算外選單資料來源!D157</f>
        <v/>
      </c>
      <c r="E157" s="251">
        <f>[1]預算外選單資料來源!E157</f>
        <v/>
      </c>
      <c r="F157" s="251">
        <f>[1]預算外選單資料來源!F157</f>
        <v/>
      </c>
    </row>
    <row r="158" ht="16.5" customHeight="1" s="124">
      <c r="B158" s="251">
        <f>[1]預算外選單資料來源!B158</f>
        <v/>
      </c>
      <c r="C158" s="251">
        <f>[1]預算外選單資料來源!C158</f>
        <v/>
      </c>
      <c r="D158" s="251">
        <f>[1]預算外選單資料來源!D158</f>
        <v/>
      </c>
      <c r="E158" s="251">
        <f>[1]預算外選單資料來源!E158</f>
        <v/>
      </c>
      <c r="F158" s="251">
        <f>[1]預算外選單資料來源!F158</f>
        <v/>
      </c>
    </row>
    <row r="159" ht="16.5" customHeight="1" s="124">
      <c r="B159" s="251">
        <f>[1]預算外選單資料來源!B159</f>
        <v/>
      </c>
      <c r="C159" s="251">
        <f>[1]預算外選單資料來源!C159</f>
        <v/>
      </c>
      <c r="D159" s="251">
        <f>[1]預算外選單資料來源!D159</f>
        <v/>
      </c>
      <c r="E159" s="251">
        <f>[1]預算外選單資料來源!E159</f>
        <v/>
      </c>
      <c r="F159" s="251">
        <f>[1]預算外選單資料來源!F159</f>
        <v/>
      </c>
    </row>
    <row r="160" ht="16.5" customHeight="1" s="124">
      <c r="B160" s="251">
        <f>[1]預算外選單資料來源!B160</f>
        <v/>
      </c>
      <c r="C160" s="251">
        <f>[1]預算外選單資料來源!C160</f>
        <v/>
      </c>
      <c r="D160" s="251">
        <f>[1]預算外選單資料來源!D160</f>
        <v/>
      </c>
      <c r="E160" s="251">
        <f>[1]預算外選單資料來源!E160</f>
        <v/>
      </c>
      <c r="F160" s="251">
        <f>[1]預算外選單資料來源!F160</f>
        <v/>
      </c>
    </row>
    <row r="161" ht="16.5" customHeight="1" s="124">
      <c r="B161" s="251">
        <f>[1]預算外選單資料來源!B161</f>
        <v/>
      </c>
      <c r="C161" s="251">
        <f>[1]預算外選單資料來源!C161</f>
        <v/>
      </c>
      <c r="D161" s="251">
        <f>[1]預算外選單資料來源!D161</f>
        <v/>
      </c>
      <c r="E161" s="251">
        <f>[1]預算外選單資料來源!E161</f>
        <v/>
      </c>
      <c r="F161" s="251">
        <f>[1]預算外選單資料來源!F161</f>
        <v/>
      </c>
    </row>
    <row r="162" ht="16.5" customHeight="1" s="124">
      <c r="B162" s="251">
        <f>[1]預算外選單資料來源!B162</f>
        <v/>
      </c>
      <c r="C162" s="251">
        <f>[1]預算外選單資料來源!C162</f>
        <v/>
      </c>
      <c r="D162" s="251">
        <f>[1]預算外選單資料來源!D162</f>
        <v/>
      </c>
      <c r="E162" s="251">
        <f>[1]預算外選單資料來源!E162</f>
        <v/>
      </c>
      <c r="F162" s="251">
        <f>[1]預算外選單資料來源!F162</f>
        <v/>
      </c>
    </row>
    <row r="163" ht="16.5" customHeight="1" s="124">
      <c r="B163" s="251">
        <f>[1]預算外選單資料來源!B163</f>
        <v/>
      </c>
      <c r="C163" s="251">
        <f>[1]預算外選單資料來源!C163</f>
        <v/>
      </c>
      <c r="D163" s="251">
        <f>[1]預算外選單資料來源!D163</f>
        <v/>
      </c>
      <c r="E163" s="251">
        <f>[1]預算外選單資料來源!E163</f>
        <v/>
      </c>
      <c r="F163" s="251">
        <f>[1]預算外選單資料來源!F163</f>
        <v/>
      </c>
    </row>
    <row r="164" ht="16.5" customHeight="1" s="124">
      <c r="B164" s="251">
        <f>[1]預算外選單資料來源!B164</f>
        <v/>
      </c>
      <c r="C164" s="251">
        <f>[1]預算外選單資料來源!C164</f>
        <v/>
      </c>
      <c r="D164" s="251">
        <f>[1]預算外選單資料來源!D164</f>
        <v/>
      </c>
      <c r="E164" s="251">
        <f>[1]預算外選單資料來源!E164</f>
        <v/>
      </c>
      <c r="F164" s="251">
        <f>[1]預算外選單資料來源!F164</f>
        <v/>
      </c>
    </row>
    <row r="165" ht="16.5" customHeight="1" s="124">
      <c r="B165" s="251">
        <f>[1]預算外選單資料來源!B165</f>
        <v/>
      </c>
      <c r="C165" s="251">
        <f>[1]預算外選單資料來源!C165</f>
        <v/>
      </c>
      <c r="D165" s="251">
        <f>[1]預算外選單資料來源!D165</f>
        <v/>
      </c>
      <c r="E165" s="251">
        <f>[1]預算外選單資料來源!E165</f>
        <v/>
      </c>
      <c r="F165" s="251">
        <f>[1]預算外選單資料來源!F165</f>
        <v/>
      </c>
    </row>
    <row r="166" ht="16.5" customHeight="1" s="124">
      <c r="B166" s="251">
        <f>[1]預算外選單資料來源!B166</f>
        <v/>
      </c>
      <c r="C166" s="251">
        <f>[1]預算外選單資料來源!C166</f>
        <v/>
      </c>
      <c r="D166" s="251">
        <f>[1]預算外選單資料來源!D166</f>
        <v/>
      </c>
      <c r="E166" s="251">
        <f>[1]預算外選單資料來源!E166</f>
        <v/>
      </c>
      <c r="F166" s="251">
        <f>[1]預算外選單資料來源!F166</f>
        <v/>
      </c>
    </row>
    <row r="167" ht="16.5" customHeight="1" s="124">
      <c r="B167" s="251">
        <f>[1]預算外選單資料來源!B167</f>
        <v/>
      </c>
      <c r="C167" s="251">
        <f>[1]預算外選單資料來源!C167</f>
        <v/>
      </c>
      <c r="D167" s="251">
        <f>[1]預算外選單資料來源!D167</f>
        <v/>
      </c>
      <c r="E167" s="251">
        <f>[1]預算外選單資料來源!E167</f>
        <v/>
      </c>
      <c r="F167" s="251">
        <f>[1]預算外選單資料來源!F167</f>
        <v/>
      </c>
    </row>
    <row r="168" ht="16.5" customHeight="1" s="124">
      <c r="B168" s="251">
        <f>[1]預算外選單資料來源!B168</f>
        <v/>
      </c>
      <c r="C168" s="251">
        <f>[1]預算外選單資料來源!C168</f>
        <v/>
      </c>
      <c r="D168" s="251">
        <f>[1]預算外選單資料來源!D168</f>
        <v/>
      </c>
      <c r="E168" s="251">
        <f>[1]預算外選單資料來源!E168</f>
        <v/>
      </c>
      <c r="F168" s="251">
        <f>[1]預算外選單資料來源!F168</f>
        <v/>
      </c>
    </row>
    <row r="169" ht="16.5" customHeight="1" s="124">
      <c r="B169" s="260" t="inlineStr">
        <is>
          <t>H00045口說英語展能-教師社群</t>
        </is>
      </c>
      <c r="C169" s="251">
        <f>[1]預算外選單資料來源!C169</f>
        <v/>
      </c>
      <c r="D169" s="251">
        <f>[1]預算外選單資料來源!D169</f>
        <v/>
      </c>
      <c r="E169" s="251">
        <f>[1]預算外選單資料來源!E169</f>
        <v/>
      </c>
      <c r="F169" s="251">
        <f>[1]預算外選單資料來源!F169</f>
        <v/>
      </c>
    </row>
    <row r="170" ht="16.5" customHeight="1" s="124">
      <c r="B170" s="251">
        <f>[1]預算外選單資料來源!B169</f>
        <v/>
      </c>
      <c r="C170" s="251" t="n"/>
      <c r="D170" s="251" t="n"/>
      <c r="E170" s="251" t="n"/>
      <c r="F170" s="251" t="n"/>
    </row>
    <row r="171" ht="16.5" customHeight="1" s="124">
      <c r="B171" s="251">
        <f>[1]預算外選單資料來源!B170</f>
        <v/>
      </c>
      <c r="C171" s="251">
        <f>[1]預算外選單資料來源!C170</f>
        <v/>
      </c>
      <c r="D171" s="251">
        <f>[1]預算外選單資料來源!D170</f>
        <v/>
      </c>
      <c r="E171" s="251">
        <f>[1]預算外選單資料來源!E170</f>
        <v/>
      </c>
      <c r="F171" s="251">
        <f>[1]預算外選單資料來源!F170</f>
        <v/>
      </c>
    </row>
    <row r="172" ht="33" customHeight="1" s="124">
      <c r="B172" s="251">
        <f>[1]預算外選單資料來源!B171</f>
        <v/>
      </c>
      <c r="C172" s="251">
        <f>[1]預算外選單資料來源!C171</f>
        <v/>
      </c>
      <c r="D172" s="251">
        <f>[1]預算外選單資料來源!D171</f>
        <v/>
      </c>
      <c r="E172" s="251">
        <f>[1]預算外選單資料來源!E171</f>
        <v/>
      </c>
      <c r="F172" s="251">
        <f>[1]預算外選單資料來源!F171</f>
        <v/>
      </c>
    </row>
    <row r="173" ht="16.5" customHeight="1" s="124">
      <c r="B173" s="251">
        <f>[1]預算外選單資料來源!B172</f>
        <v/>
      </c>
      <c r="C173" s="251">
        <f>[1]預算外選單資料來源!C172</f>
        <v/>
      </c>
      <c r="D173" s="251">
        <f>[1]預算外選單資料來源!D172</f>
        <v/>
      </c>
      <c r="E173" s="251">
        <f>[1]預算外選單資料來源!E172</f>
        <v/>
      </c>
      <c r="F173" s="251">
        <f>[1]預算外選單資料來源!F172</f>
        <v/>
      </c>
    </row>
    <row r="174" ht="33" customHeight="1" s="124">
      <c r="B174" s="251">
        <f>[1]預算外選單資料來源!B173</f>
        <v/>
      </c>
      <c r="C174" s="251">
        <f>[1]預算外選單資料來源!C173</f>
        <v/>
      </c>
      <c r="D174" s="251">
        <f>[1]預算外選單資料來源!D173</f>
        <v/>
      </c>
      <c r="E174" s="251">
        <f>[1]預算外選單資料來源!E173</f>
        <v/>
      </c>
      <c r="F174" s="251">
        <f>[1]預算外選單資料來源!F173</f>
        <v/>
      </c>
    </row>
    <row r="175" ht="16.5" customHeight="1" s="124">
      <c r="B175" s="251">
        <f>[1]預算外選單資料來源!B174</f>
        <v/>
      </c>
      <c r="C175" s="251">
        <f>[1]預算外選單資料來源!C174</f>
        <v/>
      </c>
      <c r="D175" s="251">
        <f>[1]預算外選單資料來源!D174</f>
        <v/>
      </c>
      <c r="E175" s="251">
        <f>[1]預算外選單資料來源!E174</f>
        <v/>
      </c>
      <c r="F175" s="251">
        <f>[1]預算外選單資料來源!F174</f>
        <v/>
      </c>
    </row>
    <row r="176" ht="16.5" customHeight="1" s="124">
      <c r="B176" s="251">
        <f>[1]預算外選單資料來源!B175</f>
        <v/>
      </c>
      <c r="C176" s="251">
        <f>[1]預算外選單資料來源!C175</f>
        <v/>
      </c>
      <c r="D176" s="251">
        <f>[1]預算外選單資料來源!D175</f>
        <v/>
      </c>
      <c r="E176" s="251">
        <f>[1]預算外選單資料來源!E175</f>
        <v/>
      </c>
      <c r="F176" s="251">
        <f>[1]預算外選單資料來源!F175</f>
        <v/>
      </c>
    </row>
    <row r="177" ht="16.5" customHeight="1" s="124">
      <c r="B177" s="251">
        <f>[1]預算外選單資料來源!B176</f>
        <v/>
      </c>
      <c r="C177" s="251">
        <f>[1]預算外選單資料來源!C176</f>
        <v/>
      </c>
      <c r="D177" s="251">
        <f>[1]預算外選單資料來源!D176</f>
        <v/>
      </c>
      <c r="E177" s="251">
        <f>[1]預算外選單資料來源!E176</f>
        <v/>
      </c>
      <c r="F177" s="251">
        <f>[1]預算外選單資料來源!F176</f>
        <v/>
      </c>
    </row>
    <row r="178" ht="16.5" customHeight="1" s="124">
      <c r="B178" s="251">
        <f>[1]預算外選單資料來源!B177</f>
        <v/>
      </c>
      <c r="C178" s="251">
        <f>[1]預算外選單資料來源!C177</f>
        <v/>
      </c>
      <c r="D178" s="251">
        <f>[1]預算外選單資料來源!D177</f>
        <v/>
      </c>
      <c r="E178" s="251">
        <f>[1]預算外選單資料來源!E177</f>
        <v/>
      </c>
      <c r="F178" s="251">
        <f>[1]預算外選單資料來源!F177</f>
        <v/>
      </c>
    </row>
    <row r="179" ht="16.5" customHeight="1" s="124">
      <c r="B179" s="251">
        <f>[1]預算外選單資料來源!B178</f>
        <v/>
      </c>
      <c r="C179" s="251">
        <f>[1]預算外選單資料來源!C178</f>
        <v/>
      </c>
      <c r="D179" s="251">
        <f>[1]預算外選單資料來源!D178</f>
        <v/>
      </c>
      <c r="E179" s="251">
        <f>[1]預算外選單資料來源!E178</f>
        <v/>
      </c>
      <c r="F179" s="251">
        <f>[1]預算外選單資料來源!F178</f>
        <v/>
      </c>
    </row>
    <row r="180" ht="16.5" customHeight="1" s="124">
      <c r="B180" s="251">
        <f>[1]預算外選單資料來源!B179</f>
        <v/>
      </c>
      <c r="C180" s="251">
        <f>[1]預算外選單資料來源!C179</f>
        <v/>
      </c>
      <c r="D180" s="251">
        <f>[1]預算外選單資料來源!D179</f>
        <v/>
      </c>
      <c r="E180" s="251">
        <f>[1]預算外選單資料來源!E179</f>
        <v/>
      </c>
      <c r="F180" s="251">
        <f>[1]預算外選單資料來源!F179</f>
        <v/>
      </c>
    </row>
    <row r="181" ht="16.5" customHeight="1" s="124">
      <c r="B181" s="251">
        <f>[1]預算外選單資料來源!B180</f>
        <v/>
      </c>
      <c r="C181" s="251">
        <f>[1]預算外選單資料來源!C180</f>
        <v/>
      </c>
      <c r="D181" s="251">
        <f>[1]預算外選單資料來源!D180</f>
        <v/>
      </c>
      <c r="E181" s="251">
        <f>[1]預算外選單資料來源!E180</f>
        <v/>
      </c>
      <c r="F181" s="251">
        <f>[1]預算外選單資料來源!F180</f>
        <v/>
      </c>
    </row>
    <row r="182" ht="16.5" customHeight="1" s="124">
      <c r="B182" s="251">
        <f>[1]預算外選單資料來源!B181</f>
        <v/>
      </c>
      <c r="C182" s="251">
        <f>[1]預算外選單資料來源!C181</f>
        <v/>
      </c>
      <c r="D182" s="251">
        <f>[1]預算外選單資料來源!D181</f>
        <v/>
      </c>
      <c r="E182" s="251">
        <f>[1]預算外選單資料來源!E181</f>
        <v/>
      </c>
      <c r="F182" s="251">
        <f>[1]預算外選單資料來源!F181</f>
        <v/>
      </c>
    </row>
    <row r="183" ht="16.5" customHeight="1" s="124">
      <c r="B183" s="251">
        <f>[1]預算外選單資料來源!B182</f>
        <v/>
      </c>
      <c r="C183" s="251">
        <f>[1]預算外選單資料來源!C182</f>
        <v/>
      </c>
      <c r="D183" s="251">
        <f>[1]預算外選單資料來源!D182</f>
        <v/>
      </c>
      <c r="E183" s="251">
        <f>[1]預算外選單資料來源!E182</f>
        <v/>
      </c>
      <c r="F183" s="251">
        <f>[1]預算外選單資料來源!F182</f>
        <v/>
      </c>
    </row>
    <row r="184" ht="16.5" customHeight="1" s="124">
      <c r="B184" s="260" t="inlineStr">
        <is>
          <t>I10014品格教育-孝親活動競實</t>
        </is>
      </c>
      <c r="C184" s="251">
        <f>[1]預算外選單資料來源!C183</f>
        <v/>
      </c>
      <c r="D184" s="251">
        <f>[1]預算外選單資料來源!D183</f>
        <v/>
      </c>
      <c r="E184" s="251">
        <f>[1]預算外選單資料來源!E183</f>
        <v/>
      </c>
      <c r="F184" s="251">
        <f>[1]預算外選單資料來源!F183</f>
        <v/>
      </c>
    </row>
    <row r="185" ht="16.5" customHeight="1" s="124">
      <c r="B185" s="260" t="inlineStr">
        <is>
          <t>I10015品德教育特色學校觀摩及表揚</t>
        </is>
      </c>
      <c r="C185" s="251">
        <f>[1]預算外選單資料來源!C184</f>
        <v/>
      </c>
      <c r="D185" s="251">
        <f>[1]預算外選單資料來源!D184</f>
        <v/>
      </c>
      <c r="E185" s="251">
        <f>[1]預算外選單資料來源!E184</f>
        <v/>
      </c>
      <c r="F185" s="251">
        <f>[1]預算外選單資料來源!F184</f>
        <v/>
      </c>
    </row>
    <row r="186" ht="16.5" customHeight="1" s="124">
      <c r="B186" s="251">
        <f>[1]預算外選單資料來源!B185</f>
        <v/>
      </c>
      <c r="C186" s="251">
        <f>[1]預算外選單資料來源!C185</f>
        <v/>
      </c>
      <c r="D186" s="251">
        <f>[1]預算外選單資料來源!D185</f>
        <v/>
      </c>
      <c r="E186" s="251">
        <f>[1]預算外選單資料來源!E185</f>
        <v/>
      </c>
      <c r="F186" s="251">
        <f>[1]預算外選單資料來源!F185</f>
        <v/>
      </c>
    </row>
    <row r="187" ht="16.5" customHeight="1" s="124">
      <c r="B187" s="251">
        <f>[1]預算外選單資料來源!B186</f>
        <v/>
      </c>
      <c r="C187" s="251">
        <f>[1]預算外選單資料來源!C186</f>
        <v/>
      </c>
      <c r="D187" s="251">
        <f>[1]預算外選單資料來源!D186</f>
        <v/>
      </c>
      <c r="E187" s="251">
        <f>[1]預算外選單資料來源!E186</f>
        <v/>
      </c>
      <c r="F187" s="251">
        <f>[1]預算外選單資料來源!F186</f>
        <v/>
      </c>
    </row>
    <row r="188" ht="16.5" customHeight="1" s="124">
      <c r="B188" s="251">
        <f>[1]預算外選單資料來源!B187</f>
        <v/>
      </c>
      <c r="C188" s="251">
        <f>[1]預算外選單資料來源!C187</f>
        <v/>
      </c>
      <c r="D188" s="251">
        <f>[1]預算外選單資料來源!D187</f>
        <v/>
      </c>
      <c r="E188" s="251">
        <f>[1]預算外選單資料來源!E187</f>
        <v/>
      </c>
      <c r="F188" s="251">
        <f>[1]預算外選單資料來源!F187</f>
        <v/>
      </c>
    </row>
    <row r="189" ht="16.5" customHeight="1" s="124">
      <c r="B189" s="251">
        <f>[1]預算外選單資料來源!B188</f>
        <v/>
      </c>
      <c r="C189" s="251">
        <f>[1]預算外選單資料來源!C188</f>
        <v/>
      </c>
      <c r="D189" s="251">
        <f>[1]預算外選單資料來源!D188</f>
        <v/>
      </c>
      <c r="E189" s="251">
        <f>[1]預算外選單資料來源!E188</f>
        <v/>
      </c>
      <c r="F189" s="251">
        <f>[1]預算外選單資料來源!F188</f>
        <v/>
      </c>
    </row>
    <row r="190" ht="16.5" customHeight="1" s="124">
      <c r="B190" s="251">
        <f>[1]預算外選單資料來源!B189</f>
        <v/>
      </c>
      <c r="C190" s="251">
        <f>[1]預算外選單資料來源!C189</f>
        <v/>
      </c>
      <c r="D190" s="251">
        <f>[1]預算外選單資料來源!D189</f>
        <v/>
      </c>
      <c r="E190" s="251">
        <f>[1]預算外選單資料來源!E189</f>
        <v/>
      </c>
      <c r="F190" s="251">
        <f>[1]預算外選單資料來源!F189</f>
        <v/>
      </c>
    </row>
    <row r="191" ht="16.5" customHeight="1" s="124">
      <c r="B191" s="251">
        <f>[1]預算外選單資料來源!B190</f>
        <v/>
      </c>
      <c r="C191" s="251">
        <f>[1]預算外選單資料來源!C190</f>
        <v/>
      </c>
      <c r="D191" s="251">
        <f>[1]預算外選單資料來源!D190</f>
        <v/>
      </c>
      <c r="E191" s="251">
        <f>[1]預算外選單資料來源!E190</f>
        <v/>
      </c>
      <c r="F191" s="251">
        <f>[1]預算外選單資料來源!F190</f>
        <v/>
      </c>
    </row>
    <row r="192" ht="16.5" customHeight="1" s="124">
      <c r="B192" s="251">
        <f>[1]預算外選單資料來源!B191</f>
        <v/>
      </c>
      <c r="C192" s="251">
        <f>[1]預算外選單資料來源!C191</f>
        <v/>
      </c>
      <c r="D192" s="251">
        <f>[1]預算外選單資料來源!D191</f>
        <v/>
      </c>
      <c r="E192" s="251">
        <f>[1]預算外選單資料來源!E191</f>
        <v/>
      </c>
      <c r="F192" s="251">
        <f>[1]預算外選單資料來源!F191</f>
        <v/>
      </c>
    </row>
    <row r="193" ht="16.5" customHeight="1" s="124">
      <c r="B193" s="251">
        <f>[1]預算外選單資料來源!B192</f>
        <v/>
      </c>
      <c r="C193" s="251">
        <f>[1]預算外選單資料來源!C192</f>
        <v/>
      </c>
      <c r="D193" s="251">
        <f>[1]預算外選單資料來源!D192</f>
        <v/>
      </c>
      <c r="E193" s="251">
        <f>[1]預算外選單資料來源!E192</f>
        <v/>
      </c>
      <c r="F193" s="251">
        <f>[1]預算外選單資料來源!F192</f>
        <v/>
      </c>
    </row>
    <row r="194" ht="16.5" customHeight="1" s="124">
      <c r="B194" s="251">
        <f>[1]預算外選單資料來源!B193</f>
        <v/>
      </c>
      <c r="C194" s="251">
        <f>[1]預算外選單資料來源!C193</f>
        <v/>
      </c>
      <c r="D194" s="251">
        <f>[1]預算外選單資料來源!D193</f>
        <v/>
      </c>
      <c r="E194" s="251">
        <f>[1]預算外選單資料來源!E193</f>
        <v/>
      </c>
      <c r="F194" s="251">
        <f>[1]預算外選單資料來源!F193</f>
        <v/>
      </c>
    </row>
    <row r="195" ht="16.5" customHeight="1" s="124">
      <c r="B195" s="251">
        <f>[1]預算外選單資料來源!B194</f>
        <v/>
      </c>
      <c r="C195" s="251">
        <f>[1]預算外選單資料來源!C194</f>
        <v/>
      </c>
      <c r="D195" s="251">
        <f>[1]預算外選單資料來源!D194</f>
        <v/>
      </c>
      <c r="E195" s="251">
        <f>[1]預算外選單資料來源!E194</f>
        <v/>
      </c>
      <c r="F195" s="251">
        <f>[1]預算外選單資料來源!F194</f>
        <v/>
      </c>
    </row>
    <row r="196" ht="16.5" customHeight="1" s="124">
      <c r="B196" s="251">
        <f>[1]預算外選單資料來源!B195</f>
        <v/>
      </c>
      <c r="C196" s="251">
        <f>[1]預算外選單資料來源!C195</f>
        <v/>
      </c>
      <c r="D196" s="251">
        <f>[1]預算外選單資料來源!D195</f>
        <v/>
      </c>
      <c r="E196" s="251">
        <f>[1]預算外選單資料來源!E195</f>
        <v/>
      </c>
      <c r="F196" s="251">
        <f>[1]預算外選單資料來源!F195</f>
        <v/>
      </c>
    </row>
    <row r="197" ht="16.5" customHeight="1" s="124">
      <c r="B197" s="251">
        <f>[1]預算外選單資料來源!B196</f>
        <v/>
      </c>
      <c r="C197" s="251">
        <f>[1]預算外選單資料來源!C196</f>
        <v/>
      </c>
      <c r="D197" s="251">
        <f>[1]預算外選單資料來源!D196</f>
        <v/>
      </c>
      <c r="E197" s="251">
        <f>[1]預算外選單資料來源!E196</f>
        <v/>
      </c>
      <c r="F197" s="251">
        <f>[1]預算外選單資料來源!F196</f>
        <v/>
      </c>
    </row>
    <row r="198" ht="16.5" customHeight="1" s="124">
      <c r="B198" s="260" t="inlineStr">
        <is>
          <t>I10028充實健康中心設備</t>
        </is>
      </c>
      <c r="C198" s="251">
        <f>[1]預算外選單資料來源!C197</f>
        <v/>
      </c>
      <c r="D198" s="251">
        <f>[1]預算外選單資料來源!D197</f>
        <v/>
      </c>
      <c r="E198" s="251">
        <f>[1]預算外選單資料來源!E197</f>
        <v/>
      </c>
      <c r="F198" s="251">
        <f>[1]預算外選單資料來源!F197</f>
        <v/>
      </c>
    </row>
    <row r="199" ht="16.5" customHeight="1" s="124">
      <c r="B199" s="260" t="inlineStr">
        <is>
          <t>I10029多元生理用品</t>
        </is>
      </c>
      <c r="C199" s="251" t="n"/>
      <c r="D199" s="251" t="n"/>
      <c r="E199" s="251" t="n"/>
      <c r="F199" s="251" t="n"/>
    </row>
    <row r="200" ht="16.5" customHeight="1" s="124">
      <c r="B200" s="251">
        <f>[1]預算外選單資料來源!B197</f>
        <v/>
      </c>
      <c r="C200" s="251" t="n"/>
      <c r="D200" s="251" t="n"/>
      <c r="E200" s="251" t="n"/>
      <c r="F200" s="251" t="n"/>
    </row>
    <row r="201" ht="16.5" customHeight="1" s="124">
      <c r="B201" s="251">
        <f>[1]預算外選單資料來源!B198</f>
        <v/>
      </c>
      <c r="C201" s="251">
        <f>[1]預算外選單資料來源!C198</f>
        <v/>
      </c>
      <c r="D201" s="251">
        <f>[1]預算外選單資料來源!D198</f>
        <v/>
      </c>
      <c r="E201" s="251">
        <f>[1]預算外選單資料來源!E198</f>
        <v/>
      </c>
      <c r="F201" s="251">
        <f>[1]預算外選單資料來源!F198</f>
        <v/>
      </c>
    </row>
    <row r="202" ht="16.5" customHeight="1" s="124">
      <c r="B202" s="251">
        <f>[1]預算外選單資料來源!B199</f>
        <v/>
      </c>
      <c r="C202" s="251">
        <f>[1]預算外選單資料來源!C199</f>
        <v/>
      </c>
      <c r="D202" s="251">
        <f>[1]預算外選單資料來源!D199</f>
        <v/>
      </c>
      <c r="E202" s="251">
        <f>[1]預算外選單資料來源!E199</f>
        <v/>
      </c>
      <c r="F202" s="251">
        <f>[1]預算外選單資料來源!F199</f>
        <v/>
      </c>
    </row>
    <row r="203" ht="16.5" customHeight="1" s="124">
      <c r="B203" s="251">
        <f>[1]預算外選單資料來源!B200</f>
        <v/>
      </c>
      <c r="C203" s="251">
        <f>[1]預算外選單資料來源!C200</f>
        <v/>
      </c>
      <c r="D203" s="251">
        <f>[1]預算外選單資料來源!D200</f>
        <v/>
      </c>
      <c r="E203" s="251">
        <f>[1]預算外選單資料來源!E200</f>
        <v/>
      </c>
      <c r="F203" s="251">
        <f>[1]預算外選單資料來源!F200</f>
        <v/>
      </c>
    </row>
    <row r="204" ht="16.5" customHeight="1" s="124">
      <c r="B204" s="251">
        <f>[1]預算外選單資料來源!B201</f>
        <v/>
      </c>
      <c r="C204" s="251">
        <f>[1]預算外選單資料來源!C201</f>
        <v/>
      </c>
      <c r="D204" s="251">
        <f>[1]預算外選單資料來源!D201</f>
        <v/>
      </c>
      <c r="E204" s="251">
        <f>[1]預算外選單資料來源!E201</f>
        <v/>
      </c>
      <c r="F204" s="251">
        <f>[1]預算外選單資料來源!F201</f>
        <v/>
      </c>
    </row>
    <row r="205" ht="16.5" customHeight="1" s="124">
      <c r="B205" s="251">
        <f>[1]預算外選單資料來源!B202</f>
        <v/>
      </c>
      <c r="C205" s="251">
        <f>[1]預算外選單資料來源!C202</f>
        <v/>
      </c>
      <c r="D205" s="251">
        <f>[1]預算外選單資料來源!D202</f>
        <v/>
      </c>
      <c r="E205" s="251">
        <f>[1]預算外選單資料來源!E202</f>
        <v/>
      </c>
      <c r="F205" s="251">
        <f>[1]預算外選單資料來源!F202</f>
        <v/>
      </c>
    </row>
    <row r="206" ht="16.5" customHeight="1" s="124">
      <c r="B206" s="251">
        <f>[1]預算外選單資料來源!B203</f>
        <v/>
      </c>
      <c r="C206" s="251">
        <f>[1]預算外選單資料來源!C203</f>
        <v/>
      </c>
      <c r="D206" s="251">
        <f>[1]預算外選單資料來源!D203</f>
        <v/>
      </c>
      <c r="E206" s="251">
        <f>[1]預算外選單資料來源!E203</f>
        <v/>
      </c>
      <c r="F206" s="251">
        <f>[1]預算外選單資料來源!F203</f>
        <v/>
      </c>
    </row>
    <row r="207" ht="16.5" customHeight="1" s="124">
      <c r="B207" s="251">
        <f>[1]預算外選單資料來源!B204</f>
        <v/>
      </c>
      <c r="C207" s="251">
        <f>[1]預算外選單資料來源!C204</f>
        <v/>
      </c>
      <c r="D207" s="251">
        <f>[1]預算外選單資料來源!D204</f>
        <v/>
      </c>
      <c r="E207" s="251">
        <f>[1]預算外選單資料來源!E204</f>
        <v/>
      </c>
      <c r="F207" s="251">
        <f>[1]預算外選單資料來源!F204</f>
        <v/>
      </c>
    </row>
    <row r="208" ht="16.5" customHeight="1" s="124">
      <c r="B208" s="260" t="inlineStr">
        <is>
          <t>I20008三章一Q食材獎勵金</t>
        </is>
      </c>
      <c r="C208" s="251">
        <f>[1]預算外選單資料來源!C205</f>
        <v/>
      </c>
      <c r="D208" s="251">
        <f>[1]預算外選單資料來源!D205</f>
        <v/>
      </c>
      <c r="E208" s="251">
        <f>[1]預算外選單資料來源!E205</f>
        <v/>
      </c>
      <c r="F208" s="251">
        <f>[1]預算外選單資料來源!F205</f>
        <v/>
      </c>
    </row>
    <row r="209" ht="16.5" customHeight="1" s="124">
      <c r="B209" s="251">
        <f>[1]預算外選單資料來源!B206</f>
        <v/>
      </c>
      <c r="C209" s="251">
        <f>[1]預算外選單資料來源!C206</f>
        <v/>
      </c>
      <c r="D209" s="251">
        <f>[1]預算外選單資料來源!D206</f>
        <v/>
      </c>
      <c r="E209" s="251">
        <f>[1]預算外選單資料來源!E206</f>
        <v/>
      </c>
      <c r="F209" s="251">
        <f>[1]預算外選單資料來源!F206</f>
        <v/>
      </c>
    </row>
    <row r="210" ht="16.5" customHeight="1" s="124">
      <c r="B210" s="251">
        <f>[1]預算外選單資料來源!B207</f>
        <v/>
      </c>
      <c r="C210" s="251">
        <f>[1]預算外選單資料來源!C207</f>
        <v/>
      </c>
      <c r="D210" s="251">
        <f>[1]預算外選單資料來源!D207</f>
        <v/>
      </c>
      <c r="E210" s="251">
        <f>[1]預算外選單資料來源!E207</f>
        <v/>
      </c>
      <c r="F210" s="251">
        <f>[1]預算外選單資料來源!F207</f>
        <v/>
      </c>
    </row>
    <row r="211" ht="16.5" customHeight="1" s="124">
      <c r="B211" s="251">
        <f>[1]預算外選單資料來源!B208</f>
        <v/>
      </c>
      <c r="C211" s="251">
        <f>[1]預算外選單資料來源!C208</f>
        <v/>
      </c>
      <c r="D211" s="251">
        <f>[1]預算外選單資料來源!D208</f>
        <v/>
      </c>
      <c r="E211" s="251">
        <f>[1]預算外選單資料來源!E208</f>
        <v/>
      </c>
      <c r="F211" s="251">
        <f>[1]預算外選單資料來源!F208</f>
        <v/>
      </c>
    </row>
    <row r="212" ht="16.5" customHeight="1" s="124">
      <c r="B212" s="251">
        <f>[1]預算外選單資料來源!B209</f>
        <v/>
      </c>
      <c r="C212" s="251">
        <f>[1]預算外選單資料來源!C209</f>
        <v/>
      </c>
      <c r="D212" s="251">
        <f>[1]預算外選單資料來源!D209</f>
        <v/>
      </c>
      <c r="E212" s="251">
        <f>[1]預算外選單資料來源!E209</f>
        <v/>
      </c>
      <c r="F212" s="251">
        <f>[1]預算外選單資料來源!F209</f>
        <v/>
      </c>
    </row>
    <row r="213" ht="16.5" customHeight="1" s="124">
      <c r="B213" s="251">
        <f>[1]預算外選單資料來源!B210</f>
        <v/>
      </c>
      <c r="C213" s="251">
        <f>[1]預算外選單資料來源!C210</f>
        <v/>
      </c>
      <c r="D213" s="251">
        <f>[1]預算外選單資料來源!D210</f>
        <v/>
      </c>
      <c r="E213" s="251">
        <f>[1]預算外選單資料來源!E210</f>
        <v/>
      </c>
      <c r="F213" s="251">
        <f>[1]預算外選單資料來源!F210</f>
        <v/>
      </c>
    </row>
    <row r="214" ht="16.5" customHeight="1" s="124">
      <c r="B214" s="251">
        <f>[1]預算外選單資料來源!B211</f>
        <v/>
      </c>
      <c r="C214" s="251">
        <f>[1]預算外選單資料來源!C211</f>
        <v/>
      </c>
      <c r="D214" s="251">
        <f>[1]預算外選單資料來源!D211</f>
        <v/>
      </c>
      <c r="E214" s="251">
        <f>[1]預算外選單資料來源!E211</f>
        <v/>
      </c>
      <c r="F214" s="251">
        <f>[1]預算外選單資料來源!F211</f>
        <v/>
      </c>
    </row>
    <row r="215" ht="16.5" customHeight="1" s="124">
      <c r="B215" s="251">
        <f>[1]預算外選單資料來源!B212</f>
        <v/>
      </c>
      <c r="C215" s="251">
        <f>[1]預算外選單資料來源!C212</f>
        <v/>
      </c>
      <c r="D215" s="251">
        <f>[1]預算外選單資料來源!D212</f>
        <v/>
      </c>
      <c r="E215" s="251">
        <f>[1]預算外選單資料來源!E212</f>
        <v/>
      </c>
      <c r="F215" s="251">
        <f>[1]預算外選單資料來源!F212</f>
        <v/>
      </c>
    </row>
    <row r="216" ht="16.5" customHeight="1" s="124">
      <c r="B216" s="251">
        <f>[1]預算外選單資料來源!B213</f>
        <v/>
      </c>
      <c r="C216" s="251">
        <f>[1]預算外選單資料來源!C213</f>
        <v/>
      </c>
      <c r="D216" s="251">
        <f>[1]預算外選單資料來源!D213</f>
        <v/>
      </c>
      <c r="E216" s="251">
        <f>[1]預算外選單資料來源!E213</f>
        <v/>
      </c>
      <c r="F216" s="251">
        <f>[1]預算外選單資料來源!F213</f>
        <v/>
      </c>
    </row>
    <row r="217" ht="16.5" customHeight="1" s="124">
      <c r="B217" s="251">
        <f>[1]預算外選單資料來源!B214</f>
        <v/>
      </c>
      <c r="C217" s="251">
        <f>[1]預算外選單資料來源!C214</f>
        <v/>
      </c>
      <c r="D217" s="251">
        <f>[1]預算外選單資料來源!D214</f>
        <v/>
      </c>
      <c r="E217" s="251">
        <f>[1]預算外選單資料來源!E214</f>
        <v/>
      </c>
      <c r="F217" s="251">
        <f>[1]預算外選單資料來源!F214</f>
        <v/>
      </c>
    </row>
    <row r="218" ht="16.5" customHeight="1" s="124">
      <c r="B218" s="251">
        <f>[1]預算外選單資料來源!B215</f>
        <v/>
      </c>
      <c r="C218" s="251">
        <f>[1]預算外選單資料來源!C215</f>
        <v/>
      </c>
      <c r="D218" s="251">
        <f>[1]預算外選單資料來源!D215</f>
        <v/>
      </c>
      <c r="E218" s="251">
        <f>[1]預算外選單資料來源!E215</f>
        <v/>
      </c>
      <c r="F218" s="251">
        <f>[1]預算外選單資料來源!F215</f>
        <v/>
      </c>
    </row>
    <row r="219" ht="16.5" customHeight="1" s="124">
      <c r="B219" s="251">
        <f>[1]預算外選單資料來源!B216</f>
        <v/>
      </c>
      <c r="C219" s="251">
        <f>[1]預算外選單資料來源!C216</f>
        <v/>
      </c>
      <c r="D219" s="251">
        <f>[1]預算外選單資料來源!D216</f>
        <v/>
      </c>
      <c r="E219" s="251">
        <f>[1]預算外選單資料來源!E216</f>
        <v/>
      </c>
      <c r="F219" s="251">
        <f>[1]預算外選單資料來源!F216</f>
        <v/>
      </c>
    </row>
    <row r="220" ht="16.5" customHeight="1" s="124">
      <c r="B220" s="251">
        <f>[1]預算外選單資料來源!B217</f>
        <v/>
      </c>
      <c r="C220" s="251">
        <f>[1]預算外選單資料來源!C217</f>
        <v/>
      </c>
      <c r="D220" s="251">
        <f>[1]預算外選單資料來源!D217</f>
        <v/>
      </c>
      <c r="E220" s="251">
        <f>[1]預算外選單資料來源!E217</f>
        <v/>
      </c>
      <c r="F220" s="251">
        <f>[1]預算外選單資料來源!F217</f>
        <v/>
      </c>
    </row>
    <row r="221" ht="16.5" customHeight="1" s="124">
      <c r="B221" s="251">
        <f>[1]預算外選單資料來源!B218</f>
        <v/>
      </c>
      <c r="C221" s="251">
        <f>[1]預算外選單資料來源!C218</f>
        <v/>
      </c>
      <c r="D221" s="251">
        <f>[1]預算外選單資料來源!D218</f>
        <v/>
      </c>
      <c r="E221" s="251">
        <f>[1]預算外選單資料來源!E218</f>
        <v/>
      </c>
      <c r="F221" s="251">
        <f>[1]預算外選單資料來源!F218</f>
        <v/>
      </c>
    </row>
    <row r="222" ht="16.5" customHeight="1" s="124">
      <c r="B222" s="251">
        <f>[1]預算外選單資料來源!B219</f>
        <v/>
      </c>
      <c r="C222" s="251">
        <f>[1]預算外選單資料來源!C219</f>
        <v/>
      </c>
      <c r="D222" s="251">
        <f>[1]預算外選單資料來源!D219</f>
        <v/>
      </c>
      <c r="E222" s="251">
        <f>[1]預算外選單資料來源!E219</f>
        <v/>
      </c>
      <c r="F222" s="251">
        <f>[1]預算外選單資料來源!F219</f>
        <v/>
      </c>
    </row>
    <row r="223" ht="16.5" customHeight="1" s="124">
      <c r="B223" s="260" t="inlineStr">
        <is>
          <t>I30014體育補助經費</t>
        </is>
      </c>
      <c r="C223" s="251">
        <f>[1]預算外選單資料來源!C220</f>
        <v/>
      </c>
      <c r="D223" s="251">
        <f>[1]預算外選單資料來源!D220</f>
        <v/>
      </c>
      <c r="E223" s="251">
        <f>[1]預算外選單資料來源!E220</f>
        <v/>
      </c>
      <c r="F223" s="251">
        <f>[1]預算外選單資料來源!F220</f>
        <v/>
      </c>
    </row>
    <row r="224" ht="16.5" customHeight="1" s="124">
      <c r="B224" s="251">
        <f>[1]預算外選單資料來源!B221</f>
        <v/>
      </c>
      <c r="C224" s="251">
        <f>[1]預算外選單資料來源!C221</f>
        <v/>
      </c>
      <c r="D224" s="251">
        <f>[1]預算外選單資料來源!D221</f>
        <v/>
      </c>
      <c r="E224" s="251">
        <f>[1]預算外選單資料來源!E221</f>
        <v/>
      </c>
      <c r="F224" s="251">
        <f>[1]預算外選單資料來源!F221</f>
        <v/>
      </c>
    </row>
    <row r="225" ht="16.5" customHeight="1" s="124">
      <c r="B225" s="251">
        <f>[1]預算外選單資料來源!B222</f>
        <v/>
      </c>
      <c r="C225" s="251">
        <f>[1]預算外選單資料來源!C222</f>
        <v/>
      </c>
      <c r="D225" s="251">
        <f>[1]預算外選單資料來源!D222</f>
        <v/>
      </c>
      <c r="E225" s="251">
        <f>[1]預算外選單資料來源!E222</f>
        <v/>
      </c>
      <c r="F225" s="251">
        <f>[1]預算外選單資料來源!F222</f>
        <v/>
      </c>
    </row>
    <row r="226" ht="16.5" customHeight="1" s="124">
      <c r="B226" s="251">
        <f>[1]預算外選單資料來源!B223</f>
        <v/>
      </c>
      <c r="C226" s="251">
        <f>[1]預算外選單資料來源!C223</f>
        <v/>
      </c>
      <c r="D226" s="251">
        <f>[1]預算外選單資料來源!D223</f>
        <v/>
      </c>
      <c r="E226" s="251">
        <f>[1]預算外選單資料來源!E223</f>
        <v/>
      </c>
      <c r="F226" s="251">
        <f>[1]預算外選單資料來源!F223</f>
        <v/>
      </c>
    </row>
    <row r="227" ht="16.5" customHeight="1" s="124">
      <c r="B227" s="251">
        <f>[1]預算外選單資料來源!B224</f>
        <v/>
      </c>
      <c r="C227" s="251">
        <f>[1]預算外選單資料來源!C224</f>
        <v/>
      </c>
      <c r="D227" s="251">
        <f>[1]預算外選單資料來源!D224</f>
        <v/>
      </c>
      <c r="E227" s="251">
        <f>[1]預算外選單資料來源!E224</f>
        <v/>
      </c>
      <c r="F227" s="251">
        <f>[1]預算外選單資料來源!F224</f>
        <v/>
      </c>
    </row>
    <row r="228" ht="16.5" customHeight="1" s="124">
      <c r="B228" s="251">
        <f>[1]預算外選單資料來源!B225</f>
        <v/>
      </c>
      <c r="C228" s="251">
        <f>[1]預算外選單資料來源!C225</f>
        <v/>
      </c>
      <c r="D228" s="251">
        <f>[1]預算外選單資料來源!D225</f>
        <v/>
      </c>
      <c r="E228" s="251">
        <f>[1]預算外選單資料來源!E225</f>
        <v/>
      </c>
      <c r="F228" s="251">
        <f>[1]預算外選單資料來源!F225</f>
        <v/>
      </c>
    </row>
    <row r="229" ht="33" customHeight="1" s="124">
      <c r="B229" s="251">
        <f>[1]預算外選單資料來源!B226</f>
        <v/>
      </c>
      <c r="C229" s="251">
        <f>[1]預算外選單資料來源!C226</f>
        <v/>
      </c>
      <c r="D229" s="251">
        <f>[1]預算外選單資料來源!D226</f>
        <v/>
      </c>
      <c r="E229" s="251">
        <f>[1]預算外選單資料來源!E226</f>
        <v/>
      </c>
      <c r="F229" s="251">
        <f>[1]預算外選單資料來源!F226</f>
        <v/>
      </c>
    </row>
    <row r="230" ht="16.5" customHeight="1" s="124">
      <c r="B230" s="251">
        <f>[1]預算外選單資料來源!B227</f>
        <v/>
      </c>
      <c r="C230" s="251">
        <f>[1]預算外選單資料來源!C227</f>
        <v/>
      </c>
      <c r="D230" s="251">
        <f>[1]預算外選單資料來源!D227</f>
        <v/>
      </c>
      <c r="E230" s="251">
        <f>[1]預算外選單資料來源!E227</f>
        <v/>
      </c>
      <c r="F230" s="251">
        <f>[1]預算外選單資料來源!F227</f>
        <v/>
      </c>
    </row>
    <row r="231" ht="16.5" customHeight="1" s="124">
      <c r="B231" s="251">
        <f>[1]預算外選單資料來源!B228</f>
        <v/>
      </c>
      <c r="C231" s="251">
        <f>[1]預算外選單資料來源!C228</f>
        <v/>
      </c>
      <c r="D231" s="251">
        <f>[1]預算外選單資料來源!D228</f>
        <v/>
      </c>
      <c r="E231" s="251">
        <f>[1]預算外選單資料來源!E228</f>
        <v/>
      </c>
      <c r="F231" s="251">
        <f>[1]預算外選單資料來源!F228</f>
        <v/>
      </c>
    </row>
    <row r="232" ht="16.5" customHeight="1" s="124">
      <c r="B232" s="251">
        <f>[1]預算外選單資料來源!B229</f>
        <v/>
      </c>
      <c r="C232" s="251">
        <f>[1]預算外選單資料來源!C229</f>
        <v/>
      </c>
      <c r="D232" s="251">
        <f>[1]預算外選單資料來源!D229</f>
        <v/>
      </c>
      <c r="E232" s="251">
        <f>[1]預算外選單資料來源!E229</f>
        <v/>
      </c>
      <c r="F232" s="251">
        <f>[1]預算外選單資料來源!F229</f>
        <v/>
      </c>
    </row>
    <row r="233" ht="16.5" customHeight="1" s="124">
      <c r="B233" s="251">
        <f>[1]預算外選單資料來源!B230</f>
        <v/>
      </c>
      <c r="C233" s="251">
        <f>[1]預算外選單資料來源!C230</f>
        <v/>
      </c>
      <c r="D233" s="251">
        <f>[1]預算外選單資料來源!D230</f>
        <v/>
      </c>
      <c r="E233" s="251">
        <f>[1]預算外選單資料來源!E230</f>
        <v/>
      </c>
      <c r="F233" s="251">
        <f>[1]預算外選單資料來源!F230</f>
        <v/>
      </c>
    </row>
    <row r="234" ht="33" customHeight="1" s="124">
      <c r="B234" s="251">
        <f>[1]預算外選單資料來源!B231</f>
        <v/>
      </c>
      <c r="C234" s="251">
        <f>[1]預算外選單資料來源!C231</f>
        <v/>
      </c>
      <c r="D234" s="251">
        <f>[1]預算外選單資料來源!D231</f>
        <v/>
      </c>
      <c r="E234" s="251">
        <f>[1]預算外選單資料來源!E231</f>
        <v/>
      </c>
      <c r="F234" s="251">
        <f>[1]預算外選單資料來源!F231</f>
        <v/>
      </c>
    </row>
    <row r="235" ht="16.5" customHeight="1" s="124">
      <c r="B235" s="251">
        <f>[1]預算外選單資料來源!B232</f>
        <v/>
      </c>
      <c r="C235" s="251">
        <f>[1]預算外選單資料來源!C232</f>
        <v/>
      </c>
      <c r="D235" s="251">
        <f>[1]預算外選單資料來源!D232</f>
        <v/>
      </c>
      <c r="E235" s="251">
        <f>[1]預算外選單資料來源!E232</f>
        <v/>
      </c>
      <c r="F235" s="251">
        <f>[1]預算外選單資料來源!F232</f>
        <v/>
      </c>
    </row>
    <row r="236" ht="16.5" customHeight="1" s="124">
      <c r="B236" s="251">
        <f>[1]預算外選單資料來源!B233</f>
        <v/>
      </c>
      <c r="C236" s="251">
        <f>[1]預算外選單資料來源!C233</f>
        <v/>
      </c>
      <c r="D236" s="251">
        <f>[1]預算外選單資料來源!D233</f>
        <v/>
      </c>
      <c r="E236" s="251">
        <f>[1]預算外選單資料來源!E233</f>
        <v/>
      </c>
      <c r="F236" s="251">
        <f>[1]預算外選單資料來源!F233</f>
        <v/>
      </c>
    </row>
    <row r="237" ht="16.5" customHeight="1" s="124">
      <c r="B237" s="260" t="n"/>
      <c r="C237" s="251">
        <f>[1]預算外選單資料來源!C234</f>
        <v/>
      </c>
      <c r="D237" s="251">
        <f>[1]預算外選單資料來源!D234</f>
        <v/>
      </c>
      <c r="E237" s="251">
        <f>[1]預算外選單資料來源!E234</f>
        <v/>
      </c>
      <c r="F237" s="251">
        <f>[1]預算外選單資料來源!F234</f>
        <v/>
      </c>
    </row>
    <row r="238" ht="16.5" customHeight="1" s="124">
      <c r="B238" s="260" t="inlineStr">
        <is>
          <t>J00014 科教館愛迪生出發公益學習活動</t>
        </is>
      </c>
      <c r="C238" s="251">
        <f>[1]預算外選單資料來源!C238</f>
        <v/>
      </c>
      <c r="D238" s="251">
        <f>[1]預算外選單資料來源!D238</f>
        <v/>
      </c>
      <c r="E238" s="251">
        <f>[1]預算外選單資料來源!E238</f>
        <v/>
      </c>
      <c r="F238" s="251">
        <f>[1]預算外選單資料來源!F238</f>
        <v/>
      </c>
    </row>
    <row r="239" ht="16.5" customHeight="1" s="124">
      <c r="B239" s="251">
        <f>[1]預算外選單資料來源!B238</f>
        <v/>
      </c>
      <c r="C239" s="251" t="n"/>
      <c r="D239" s="251" t="n"/>
      <c r="E239" s="251" t="n"/>
      <c r="F239" s="251" t="n"/>
    </row>
    <row r="240" ht="16.5" customHeight="1" s="124">
      <c r="B240" s="251">
        <f>[1]預算外選單資料來源!B239</f>
        <v/>
      </c>
      <c r="C240" s="251">
        <f>[1]預算外選單資料來源!C239</f>
        <v/>
      </c>
      <c r="D240" s="251">
        <f>[1]預算外選單資料來源!D239</f>
        <v/>
      </c>
      <c r="E240" s="251">
        <f>[1]預算外選單資料來源!E239</f>
        <v/>
      </c>
      <c r="F240" s="251">
        <f>[1]預算外選單資料來源!F239</f>
        <v/>
      </c>
    </row>
    <row r="241" ht="16.5" customHeight="1" s="124">
      <c r="B241" s="251">
        <f>[1]預算外選單資料來源!B240</f>
        <v/>
      </c>
      <c r="C241" s="251">
        <f>[1]預算外選單資料來源!C240</f>
        <v/>
      </c>
      <c r="D241" s="251">
        <f>[1]預算外選單資料來源!D240</f>
        <v/>
      </c>
      <c r="E241" s="251">
        <f>[1]預算外選單資料來源!E240</f>
        <v/>
      </c>
      <c r="F241" s="251">
        <f>[1]預算外選單資料來源!F240</f>
        <v/>
      </c>
    </row>
    <row r="242" ht="16.5" customHeight="1" s="124">
      <c r="B242" s="251">
        <f>[1]預算外選單資料來源!B241</f>
        <v/>
      </c>
      <c r="C242" s="251">
        <f>[1]預算外選單資料來源!C241</f>
        <v/>
      </c>
      <c r="D242" s="251">
        <f>[1]預算外選單資料來源!D241</f>
        <v/>
      </c>
      <c r="E242" s="251">
        <f>[1]預算外選單資料來源!E241</f>
        <v/>
      </c>
      <c r="F242" s="251">
        <f>[1]預算外選單資料來源!F241</f>
        <v/>
      </c>
    </row>
    <row r="243" ht="16.5" customHeight="1" s="124">
      <c r="B243" s="251">
        <f>[1]預算外選單資料來源!B242</f>
        <v/>
      </c>
      <c r="C243" s="251">
        <f>[1]預算外選單資料來源!C242</f>
        <v/>
      </c>
      <c r="D243" s="251">
        <f>[1]預算外選單資料來源!D242</f>
        <v/>
      </c>
      <c r="E243" s="251">
        <f>[1]預算外選單資料來源!E242</f>
        <v/>
      </c>
      <c r="F243" s="251">
        <f>[1]預算外選單資料來源!F242</f>
        <v/>
      </c>
    </row>
    <row r="244" ht="16.5" customHeight="1" s="124">
      <c r="B244" s="251">
        <f>[1]預算外選單資料來源!B243</f>
        <v/>
      </c>
      <c r="C244" s="251">
        <f>[1]預算外選單資料來源!C243</f>
        <v/>
      </c>
      <c r="D244" s="251">
        <f>[1]預算外選單資料來源!D243</f>
        <v/>
      </c>
      <c r="E244" s="251">
        <f>[1]預算外選單資料來源!E243</f>
        <v/>
      </c>
      <c r="F244" s="251">
        <f>[1]預算外選單資料來源!F243</f>
        <v/>
      </c>
    </row>
    <row r="245" ht="16.5" customHeight="1" s="124">
      <c r="B245" s="251">
        <f>[1]預算外選單資料來源!B244</f>
        <v/>
      </c>
      <c r="C245" s="251">
        <f>[1]預算外選單資料來源!C244</f>
        <v/>
      </c>
      <c r="D245" s="251">
        <f>[1]預算外選單資料來源!D244</f>
        <v/>
      </c>
      <c r="E245" s="251">
        <f>[1]預算外選單資料來源!E244</f>
        <v/>
      </c>
      <c r="F245" s="251">
        <f>[1]預算外選單資料來源!F244</f>
        <v/>
      </c>
    </row>
    <row r="246" ht="16.5" customHeight="1" s="124">
      <c r="B246" s="251">
        <f>[1]預算外選單資料來源!B245</f>
        <v/>
      </c>
      <c r="C246" s="251">
        <f>[1]預算外選單資料來源!C245</f>
        <v/>
      </c>
      <c r="D246" s="251">
        <f>[1]預算外選單資料來源!D245</f>
        <v/>
      </c>
      <c r="E246" s="251">
        <f>[1]預算外選單資料來源!E245</f>
        <v/>
      </c>
      <c r="F246" s="251">
        <f>[1]預算外選單資料來源!F245</f>
        <v/>
      </c>
    </row>
    <row r="247" ht="16.5" customHeight="1" s="124">
      <c r="B247" s="251">
        <f>[1]預算外選單資料來源!B246</f>
        <v/>
      </c>
      <c r="C247" s="251">
        <f>[1]預算外選單資料來源!C246</f>
        <v/>
      </c>
      <c r="D247" s="251">
        <f>[1]預算外選單資料來源!D246</f>
        <v/>
      </c>
      <c r="E247" s="251">
        <f>[1]預算外選單資料來源!E246</f>
        <v/>
      </c>
      <c r="F247" s="251">
        <f>[1]預算外選單資料來源!F246</f>
        <v/>
      </c>
    </row>
    <row r="248" ht="16.5" customHeight="1" s="124">
      <c r="B248" s="260" t="inlineStr">
        <is>
          <t>K00007就學費用補助</t>
        </is>
      </c>
      <c r="C248" s="251">
        <f>[1]預算外選單資料來源!C247</f>
        <v/>
      </c>
      <c r="D248" s="251">
        <f>[1]預算外選單資料來源!D247</f>
        <v/>
      </c>
      <c r="E248" s="251">
        <f>[1]預算外選單資料來源!E247</f>
        <v/>
      </c>
      <c r="F248" s="251">
        <f>[1]預算外選單資料來源!F247</f>
        <v/>
      </c>
    </row>
    <row r="249" ht="16.5" customHeight="1" s="124">
      <c r="B249" s="251">
        <f>[1]預算外選單資料來源!B248</f>
        <v/>
      </c>
      <c r="C249" s="251">
        <f>[1]預算外選單資料來源!C248</f>
        <v/>
      </c>
      <c r="D249" s="251">
        <f>[1]預算外選單資料來源!D248</f>
        <v/>
      </c>
      <c r="E249" s="251">
        <f>[1]預算外選單資料來源!E248</f>
        <v/>
      </c>
      <c r="F249" s="251">
        <f>[1]預算外選單資料來源!F248</f>
        <v/>
      </c>
    </row>
    <row r="250" ht="16.5" customHeight="1" s="124">
      <c r="B250" s="251">
        <f>[1]預算外選單資料來源!B249</f>
        <v/>
      </c>
      <c r="C250" s="251">
        <f>[1]預算外選單資料來源!C249</f>
        <v/>
      </c>
      <c r="D250" s="251">
        <f>[1]預算外選單資料來源!D249</f>
        <v/>
      </c>
      <c r="E250" s="251">
        <f>[1]預算外選單資料來源!E249</f>
        <v/>
      </c>
      <c r="F250" s="251">
        <f>[1]預算外選單資料來源!F249</f>
        <v/>
      </c>
    </row>
    <row r="251" ht="16.5" customHeight="1" s="124">
      <c r="B251" s="251">
        <f>[1]預算外選單資料來源!B250</f>
        <v/>
      </c>
      <c r="C251" s="251">
        <f>[1]預算外選單資料來源!C250</f>
        <v/>
      </c>
      <c r="D251" s="251">
        <f>[1]預算外選單資料來源!D250</f>
        <v/>
      </c>
      <c r="E251" s="251">
        <f>[1]預算外選單資料來源!E250</f>
        <v/>
      </c>
      <c r="F251" s="251">
        <f>[1]預算外選單資料來源!F250</f>
        <v/>
      </c>
    </row>
    <row r="252" ht="16.5" customHeight="1" s="124">
      <c r="B252" s="251">
        <f>[1]預算外選單資料來源!B251</f>
        <v/>
      </c>
      <c r="C252" s="251">
        <f>[1]預算外選單資料來源!C251</f>
        <v/>
      </c>
      <c r="D252" s="251">
        <f>[1]預算外選單資料來源!D251</f>
        <v/>
      </c>
      <c r="E252" s="251">
        <f>[1]預算外選單資料來源!E251</f>
        <v/>
      </c>
      <c r="F252" s="251">
        <f>[1]預算外選單資料來源!F251</f>
        <v/>
      </c>
    </row>
    <row r="253" ht="16.5" customHeight="1" s="124">
      <c r="B253" s="251">
        <f>[1]預算外選單資料來源!B252</f>
        <v/>
      </c>
      <c r="C253" s="251">
        <f>[1]預算外選單資料來源!C252</f>
        <v/>
      </c>
      <c r="D253" s="251">
        <f>[1]預算外選單資料來源!D252</f>
        <v/>
      </c>
      <c r="E253" s="251">
        <f>[1]預算外選單資料來源!E252</f>
        <v/>
      </c>
      <c r="F253" s="251">
        <f>[1]預算外選單資料來源!F252</f>
        <v/>
      </c>
    </row>
    <row r="254" ht="16.5" customHeight="1" s="124">
      <c r="B254" s="251">
        <f>[1]預算外選單資料來源!B253</f>
        <v/>
      </c>
      <c r="C254" s="251">
        <f>[1]預算外選單資料來源!C253</f>
        <v/>
      </c>
      <c r="D254" s="251">
        <f>[1]預算外選單資料來源!D253</f>
        <v/>
      </c>
      <c r="E254" s="251">
        <f>[1]預算外選單資料來源!E253</f>
        <v/>
      </c>
      <c r="F254" s="251">
        <f>[1]預算外選單資料來源!F253</f>
        <v/>
      </c>
    </row>
    <row r="255" ht="16.5" customHeight="1" s="124">
      <c r="B255" s="251">
        <f>[1]預算外選單資料來源!B254</f>
        <v/>
      </c>
      <c r="C255" s="251">
        <f>[1]預算外選單資料來源!C254</f>
        <v/>
      </c>
      <c r="D255" s="251">
        <f>[1]預算外選單資料來源!D254</f>
        <v/>
      </c>
      <c r="E255" s="251">
        <f>[1]預算外選單資料來源!E254</f>
        <v/>
      </c>
      <c r="F255" s="251">
        <f>[1]預算外選單資料來源!F254</f>
        <v/>
      </c>
    </row>
    <row r="256" ht="16.5" customHeight="1" s="124">
      <c r="B256" s="251">
        <f>[1]預算外選單資料來源!B255</f>
        <v/>
      </c>
      <c r="C256" s="251">
        <f>[1]預算外選單資料來源!C255</f>
        <v/>
      </c>
      <c r="D256" s="251">
        <f>[1]預算外選單資料來源!D255</f>
        <v/>
      </c>
      <c r="E256" s="251">
        <f>[1]預算外選單資料來源!E255</f>
        <v/>
      </c>
      <c r="F256" s="251">
        <f>[1]預算外選單資料來源!F255</f>
        <v/>
      </c>
    </row>
    <row r="257" ht="16.5" customHeight="1" s="124">
      <c r="B257" s="251">
        <f>[1]預算外選單資料來源!B256</f>
        <v/>
      </c>
      <c r="C257" s="251">
        <f>[1]預算外選單資料來源!C256</f>
        <v/>
      </c>
      <c r="D257" s="251">
        <f>[1]預算外選單資料來源!D256</f>
        <v/>
      </c>
      <c r="E257" s="251">
        <f>[1]預算外選單資料來源!E256</f>
        <v/>
      </c>
      <c r="F257" s="251">
        <f>[1]預算外選單資料來源!F256</f>
        <v/>
      </c>
    </row>
    <row r="258" hidden="1" ht="16.5" customHeight="1" s="124">
      <c r="B258" s="251">
        <f>[1]預算外選單資料來源!B257</f>
        <v/>
      </c>
      <c r="C258" s="251">
        <f>[1]預算外選單資料來源!C257</f>
        <v/>
      </c>
      <c r="D258" s="251">
        <f>[1]預算外選單資料來源!D257</f>
        <v/>
      </c>
      <c r="E258" s="251">
        <f>[1]預算外選單資料來源!E257</f>
        <v/>
      </c>
      <c r="F258" s="251">
        <f>[1]預算外選單資料來源!F257</f>
        <v/>
      </c>
    </row>
    <row r="259" hidden="1" ht="16.5" customHeight="1" s="124">
      <c r="B259" s="251">
        <f>[1]預算外選單資料來源!B258</f>
        <v/>
      </c>
      <c r="C259" s="251">
        <f>[1]預算外選單資料來源!C258</f>
        <v/>
      </c>
      <c r="D259" s="251">
        <f>[1]預算外選單資料來源!D258</f>
        <v/>
      </c>
      <c r="E259" s="251">
        <f>[1]預算外選單資料來源!E258</f>
        <v/>
      </c>
      <c r="F259" s="251">
        <f>[1]預算外選單資料來源!F258</f>
        <v/>
      </c>
    </row>
    <row r="260" hidden="1" ht="16.5" customHeight="1" s="124">
      <c r="B260" s="251">
        <f>[1]預算外選單資料來源!B259</f>
        <v/>
      </c>
      <c r="C260" s="251">
        <f>[1]預算外選單資料來源!C259</f>
        <v/>
      </c>
      <c r="D260" s="251">
        <f>[1]預算外選單資料來源!D259</f>
        <v/>
      </c>
      <c r="E260" s="251">
        <f>[1]預算外選單資料來源!E259</f>
        <v/>
      </c>
      <c r="F260" s="251">
        <f>[1]預算外選單資料來源!F259</f>
        <v/>
      </c>
    </row>
    <row r="261" hidden="1" ht="16.5" customHeight="1" s="124">
      <c r="B261" s="251">
        <f>[1]預算外選單資料來源!B260</f>
        <v/>
      </c>
      <c r="C261" s="251">
        <f>[1]預算外選單資料來源!C260</f>
        <v/>
      </c>
      <c r="D261" s="251">
        <f>[1]預算外選單資料來源!D260</f>
        <v/>
      </c>
      <c r="E261" s="251">
        <f>[1]預算外選單資料來源!E260</f>
        <v/>
      </c>
      <c r="F261" s="251">
        <f>[1]預算外選單資料來源!F260</f>
        <v/>
      </c>
    </row>
    <row r="262" hidden="1" ht="16.5" customHeight="1" s="124">
      <c r="B262" s="251">
        <f>[1]預算外選單資料來源!B261</f>
        <v/>
      </c>
      <c r="C262" s="251">
        <f>[1]預算外選單資料來源!C261</f>
        <v/>
      </c>
      <c r="D262" s="251">
        <f>[1]預算外選單資料來源!D261</f>
        <v/>
      </c>
      <c r="E262" s="251">
        <f>[1]預算外選單資料來源!E261</f>
        <v/>
      </c>
      <c r="F262" s="251">
        <f>[1]預算外選單資料來源!F261</f>
        <v/>
      </c>
    </row>
    <row r="263" ht="16.5" customHeight="1" s="124">
      <c r="B263" s="251">
        <f>[1]預算外選單資料來源!B257</f>
        <v/>
      </c>
      <c r="C263" s="251">
        <f>[1]預算外選單資料來源!C262</f>
        <v/>
      </c>
      <c r="D263" s="251">
        <f>[1]預算外選單資料來源!D262</f>
        <v/>
      </c>
      <c r="E263" s="251">
        <f>[1]預算外選單資料來源!E262</f>
        <v/>
      </c>
      <c r="F263" s="251">
        <f>[1]預算外選單資料來源!F262</f>
        <v/>
      </c>
    </row>
    <row r="264" ht="16.5" customHeight="1" s="124">
      <c r="B264" s="251">
        <f>[1]預算外選單資料來源!B258</f>
        <v/>
      </c>
      <c r="C264" s="251">
        <f>[1]預算外選單資料來源!C263</f>
        <v/>
      </c>
      <c r="D264" s="251">
        <f>[1]預算外選單資料來源!D263</f>
        <v/>
      </c>
      <c r="E264" s="251">
        <f>[1]預算外選單資料來源!E263</f>
        <v/>
      </c>
      <c r="F264" s="251">
        <f>[1]預算外選單資料來源!F263</f>
        <v/>
      </c>
    </row>
    <row r="265" ht="16.5" customHeight="1" s="124">
      <c r="B265" s="251">
        <f>[1]預算外選單資料來源!B259</f>
        <v/>
      </c>
      <c r="C265" s="251">
        <f>[1]預算外選單資料來源!C264</f>
        <v/>
      </c>
      <c r="D265" s="251">
        <f>[1]預算外選單資料來源!D264</f>
        <v/>
      </c>
      <c r="E265" s="251">
        <f>[1]預算外選單資料來源!E264</f>
        <v/>
      </c>
      <c r="F265" s="251">
        <f>[1]預算外選單資料來源!F264</f>
        <v/>
      </c>
    </row>
    <row r="266" ht="16.5" customHeight="1" s="124">
      <c r="B266" s="251">
        <f>[1]預算外選單資料來源!B260</f>
        <v/>
      </c>
      <c r="C266" s="251">
        <f>[1]預算外選單資料來源!C265</f>
        <v/>
      </c>
      <c r="D266" s="251">
        <f>[1]預算外選單資料來源!D265</f>
        <v/>
      </c>
      <c r="E266" s="251">
        <f>[1]預算外選單資料來源!E265</f>
        <v/>
      </c>
      <c r="F266" s="251">
        <f>[1]預算外選單資料來源!F265</f>
        <v/>
      </c>
    </row>
    <row r="267" ht="16.5" customHeight="1" s="124">
      <c r="B267" s="251">
        <f>[1]預算外選單資料來源!B261</f>
        <v/>
      </c>
      <c r="C267" s="251">
        <f>[1]預算外選單資料來源!C266</f>
        <v/>
      </c>
      <c r="D267" s="251">
        <f>[1]預算外選單資料來源!D266</f>
        <v/>
      </c>
      <c r="E267" s="251">
        <f>[1]預算外選單資料來源!E266</f>
        <v/>
      </c>
      <c r="F267" s="251">
        <f>[1]預算外選單資料來源!F266</f>
        <v/>
      </c>
    </row>
    <row r="268" ht="16.5" customHeight="1" s="124">
      <c r="B268" s="251">
        <f>[1]預算外選單資料來源!B262</f>
        <v/>
      </c>
      <c r="C268" s="251">
        <f>[1]預算外選單資料來源!C267</f>
        <v/>
      </c>
      <c r="D268" s="251">
        <f>[1]預算外選單資料來源!D267</f>
        <v/>
      </c>
      <c r="E268" s="251">
        <f>[1]預算外選單資料來源!E267</f>
        <v/>
      </c>
      <c r="F268" s="251">
        <f>[1]預算外選單資料來源!F267</f>
        <v/>
      </c>
    </row>
    <row r="269" ht="16.5" customHeight="1" s="124">
      <c r="B269" s="251">
        <f>[1]預算外選單資料來源!B263</f>
        <v/>
      </c>
      <c r="C269" s="251">
        <f>[1]預算外選單資料來源!C268</f>
        <v/>
      </c>
      <c r="D269" s="251">
        <f>[1]預算外選單資料來源!D268</f>
        <v/>
      </c>
      <c r="E269" s="251">
        <f>[1]預算外選單資料來源!E268</f>
        <v/>
      </c>
      <c r="F269" s="251">
        <f>[1]預算外選單資料來源!F268</f>
        <v/>
      </c>
    </row>
    <row r="270" ht="16.5" customHeight="1" s="124">
      <c r="B270" s="251">
        <f>[1]預算外選單資料來源!B264</f>
        <v/>
      </c>
      <c r="C270" s="251">
        <f>[1]預算外選單資料來源!C269</f>
        <v/>
      </c>
      <c r="D270" s="251">
        <f>[1]預算外選單資料來源!D269</f>
        <v/>
      </c>
      <c r="E270" s="251">
        <f>[1]預算外選單資料來源!E269</f>
        <v/>
      </c>
      <c r="F270" s="251">
        <f>[1]預算外選單資料來源!F269</f>
        <v/>
      </c>
    </row>
    <row r="271" ht="16.5" customHeight="1" s="124">
      <c r="B271" s="251">
        <f>[1]預算外選單資料來源!B265</f>
        <v/>
      </c>
      <c r="C271" s="251">
        <f>[1]預算外選單資料來源!C270</f>
        <v/>
      </c>
      <c r="D271" s="251">
        <f>[1]預算外選單資料來源!D270</f>
        <v/>
      </c>
      <c r="E271" s="251">
        <f>[1]預算外選單資料來源!E270</f>
        <v/>
      </c>
      <c r="F271" s="251">
        <f>[1]預算外選單資料來源!F270</f>
        <v/>
      </c>
    </row>
    <row r="272" ht="16.5" customHeight="1" s="124">
      <c r="B272" s="251">
        <f>[1]預算外選單資料來源!B266</f>
        <v/>
      </c>
      <c r="C272" s="251">
        <f>[1]預算外選單資料來源!C271</f>
        <v/>
      </c>
      <c r="D272" s="251">
        <f>[1]預算外選單資料來源!D271</f>
        <v/>
      </c>
      <c r="E272" s="251">
        <f>[1]預算外選單資料來源!E271</f>
        <v/>
      </c>
      <c r="F272" s="251">
        <f>[1]預算外選單資料來源!F271</f>
        <v/>
      </c>
    </row>
    <row r="273" ht="16.5" customHeight="1" s="124">
      <c r="B273" s="251">
        <f>[1]預算外選單資料來源!B267</f>
        <v/>
      </c>
      <c r="C273" s="251">
        <f>[1]預算外選單資料來源!C272</f>
        <v/>
      </c>
      <c r="D273" s="251">
        <f>[1]預算外選單資料來源!D272</f>
        <v/>
      </c>
      <c r="E273" s="251">
        <f>[1]預算外選單資料來源!E272</f>
        <v/>
      </c>
      <c r="F273" s="251">
        <f>[1]預算外選單資料來源!F272</f>
        <v/>
      </c>
    </row>
    <row r="274" ht="33" customHeight="1" s="124">
      <c r="B274" s="251">
        <f>[1]預算外選單資料來源!B268</f>
        <v/>
      </c>
      <c r="C274" s="251">
        <f>[1]預算外選單資料來源!C273</f>
        <v/>
      </c>
      <c r="D274" s="251">
        <f>[1]預算外選單資料來源!D273</f>
        <v/>
      </c>
      <c r="E274" s="251">
        <f>[1]預算外選單資料來源!E273</f>
        <v/>
      </c>
      <c r="F274" s="251">
        <f>[1]預算外選單資料來源!F273</f>
        <v/>
      </c>
    </row>
    <row r="275" ht="16.5" customHeight="1" s="124">
      <c r="B275" s="251">
        <f>[1]預算外選單資料來源!B269</f>
        <v/>
      </c>
      <c r="C275" s="251">
        <f>[1]預算外選單資料來源!C274</f>
        <v/>
      </c>
      <c r="D275" s="251">
        <f>[1]預算外選單資料來源!D274</f>
        <v/>
      </c>
      <c r="E275" s="251">
        <f>[1]預算外選單資料來源!E274</f>
        <v/>
      </c>
      <c r="F275" s="251">
        <f>[1]預算外選單資料來源!F274</f>
        <v/>
      </c>
    </row>
    <row r="276" ht="16.5" customHeight="1" s="124">
      <c r="B276" s="251">
        <f>[1]預算外選單資料來源!B270</f>
        <v/>
      </c>
      <c r="C276" s="251">
        <f>[1]預算外選單資料來源!C275</f>
        <v/>
      </c>
      <c r="D276" s="251">
        <f>[1]預算外選單資料來源!D275</f>
        <v/>
      </c>
      <c r="E276" s="251">
        <f>[1]預算外選單資料來源!E275</f>
        <v/>
      </c>
      <c r="F276" s="251">
        <f>[1]預算外選單資料來源!F275</f>
        <v/>
      </c>
    </row>
    <row r="277" ht="16.5" customHeight="1" s="124">
      <c r="B277" s="251">
        <f>[1]預算外選單資料來源!B271</f>
        <v/>
      </c>
      <c r="C277" s="251">
        <f>[1]預算外選單資料來源!C276</f>
        <v/>
      </c>
      <c r="D277" s="251">
        <f>[1]預算外選單資料來源!D276</f>
        <v/>
      </c>
      <c r="E277" s="251">
        <f>[1]預算外選單資料來源!E276</f>
        <v/>
      </c>
      <c r="F277" s="251">
        <f>[1]預算外選單資料來源!F276</f>
        <v/>
      </c>
    </row>
    <row r="278" ht="16.5" customHeight="1" s="124">
      <c r="B278" s="251">
        <f>[1]預算外選單資料來源!B272</f>
        <v/>
      </c>
      <c r="C278" s="251">
        <f>[1]預算外選單資料來源!C277</f>
        <v/>
      </c>
      <c r="D278" s="251">
        <f>[1]預算外選單資料來源!D277</f>
        <v/>
      </c>
      <c r="E278" s="251">
        <f>[1]預算外選單資料來源!E277</f>
        <v/>
      </c>
      <c r="F278" s="251">
        <f>[1]預算外選單資料來源!F277</f>
        <v/>
      </c>
    </row>
    <row r="279" ht="33" customHeight="1" s="124">
      <c r="B279" s="251">
        <f>[1]預算外選單資料來源!B273</f>
        <v/>
      </c>
      <c r="C279" s="251">
        <f>[1]預算外選單資料來源!C278</f>
        <v/>
      </c>
      <c r="D279" s="251">
        <f>[1]預算外選單資料來源!D278</f>
        <v/>
      </c>
      <c r="E279" s="251">
        <f>[1]預算外選單資料來源!E278</f>
        <v/>
      </c>
      <c r="F279" s="251">
        <f>[1]預算外選單資料來源!F278</f>
        <v/>
      </c>
    </row>
    <row r="280" ht="16.5" customHeight="1" s="124">
      <c r="B280" s="251">
        <f>[1]預算外選單資料來源!B279</f>
        <v/>
      </c>
      <c r="C280" s="251">
        <f>[1]預算外選單資料來源!C279</f>
        <v/>
      </c>
      <c r="D280" s="251">
        <f>[1]預算外選單資料來源!D279</f>
        <v/>
      </c>
      <c r="E280" s="251">
        <f>[1]預算外選單資料來源!E279</f>
        <v/>
      </c>
      <c r="F280" s="251">
        <f>[1]預算外選單資料來源!F279</f>
        <v/>
      </c>
    </row>
    <row r="281" ht="16.5" customHeight="1" s="124">
      <c r="B281" s="251">
        <f>[1]預算外選單資料來源!B280</f>
        <v/>
      </c>
      <c r="C281" s="251">
        <f>[1]預算外選單資料來源!C280</f>
        <v/>
      </c>
      <c r="D281" s="251">
        <f>[1]預算外選單資料來源!D280</f>
        <v/>
      </c>
      <c r="E281" s="251">
        <f>[1]預算外選單資料來源!E280</f>
        <v/>
      </c>
      <c r="F281" s="251">
        <f>[1]預算外選單資料來源!F280</f>
        <v/>
      </c>
    </row>
    <row r="282" ht="16.5" customHeight="1" s="124">
      <c r="B282" s="251">
        <f>[1]預算外選單資料來源!B281</f>
        <v/>
      </c>
      <c r="C282" s="251">
        <f>[1]預算外選單資料來源!C281</f>
        <v/>
      </c>
      <c r="D282" s="251">
        <f>[1]預算外選單資料來源!D281</f>
        <v/>
      </c>
      <c r="E282" s="251">
        <f>[1]預算外選單資料來源!E281</f>
        <v/>
      </c>
      <c r="F282" s="251">
        <f>[1]預算外選單資料來源!F281</f>
        <v/>
      </c>
    </row>
    <row r="283" ht="16.5" customHeight="1" s="124">
      <c r="B283" s="251">
        <f>[1]預算外選單資料來源!B282</f>
        <v/>
      </c>
      <c r="C283" s="251">
        <f>[1]預算外選單資料來源!C282</f>
        <v/>
      </c>
      <c r="D283" s="251">
        <f>[1]預算外選單資料來源!D282</f>
        <v/>
      </c>
      <c r="E283" s="251">
        <f>[1]預算外選單資料來源!E282</f>
        <v/>
      </c>
      <c r="F283" s="251">
        <f>[1]預算外選單資料來源!F282</f>
        <v/>
      </c>
    </row>
    <row r="284" ht="16.5" customHeight="1" s="124">
      <c r="B284" s="251">
        <f>[1]預算外選單資料來源!B283</f>
        <v/>
      </c>
      <c r="C284" s="251">
        <f>[1]預算外選單資料來源!C283</f>
        <v/>
      </c>
      <c r="D284" s="251">
        <f>[1]預算外選單資料來源!D283</f>
        <v/>
      </c>
      <c r="E284" s="251">
        <f>[1]預算外選單資料來源!E283</f>
        <v/>
      </c>
      <c r="F284" s="251">
        <f>[1]預算外選單資料來源!F283</f>
        <v/>
      </c>
    </row>
    <row r="285" ht="16.5" customHeight="1" s="124">
      <c r="B285" s="251">
        <f>[1]預算外選單資料來源!B284</f>
        <v/>
      </c>
      <c r="C285" s="251">
        <f>[1]預算外選單資料來源!C284</f>
        <v/>
      </c>
      <c r="D285" s="251">
        <f>[1]預算外選單資料來源!D284</f>
        <v/>
      </c>
      <c r="E285" s="251">
        <f>[1]預算外選單資料來源!E284</f>
        <v/>
      </c>
      <c r="F285" s="251">
        <f>[1]預算外選單資料來源!F284</f>
        <v/>
      </c>
    </row>
    <row r="286" ht="16.5" customHeight="1" s="124">
      <c r="B286" s="251">
        <f>[1]預算外選單資料來源!B285</f>
        <v/>
      </c>
      <c r="C286" s="251">
        <f>[1]預算外選單資料來源!C285</f>
        <v/>
      </c>
      <c r="D286" s="251">
        <f>[1]預算外選單資料來源!D285</f>
        <v/>
      </c>
      <c r="E286" s="251">
        <f>[1]預算外選單資料來源!E285</f>
        <v/>
      </c>
      <c r="F286" s="251">
        <f>[1]預算外選單資料來源!F285</f>
        <v/>
      </c>
    </row>
    <row r="287" ht="33" customHeight="1" s="124">
      <c r="B287" s="251">
        <f>[1]預算外選單資料來源!B286</f>
        <v/>
      </c>
      <c r="C287" s="251">
        <f>[1]預算外選單資料來源!C286</f>
        <v/>
      </c>
      <c r="D287" s="251">
        <f>[1]預算外選單資料來源!D286</f>
        <v/>
      </c>
      <c r="E287" s="251">
        <f>[1]預算外選單資料來源!E286</f>
        <v/>
      </c>
      <c r="F287" s="251">
        <f>[1]預算外選單資料來源!F286</f>
        <v/>
      </c>
    </row>
    <row r="288" ht="16.5" customHeight="1" s="124">
      <c r="B288" s="251">
        <f>[1]預算外選單資料來源!B287</f>
        <v/>
      </c>
      <c r="C288" s="251">
        <f>[1]預算外選單資料來源!C287</f>
        <v/>
      </c>
      <c r="D288" s="251">
        <f>[1]預算外選單資料來源!D287</f>
        <v/>
      </c>
      <c r="E288" s="251">
        <f>[1]預算外選單資料來源!E287</f>
        <v/>
      </c>
      <c r="F288" s="251">
        <f>[1]預算外選單資料來源!F287</f>
        <v/>
      </c>
    </row>
    <row r="289" ht="16.5" customHeight="1" s="124">
      <c r="B289" s="251">
        <f>[1]預算外選單資料來源!B288</f>
        <v/>
      </c>
      <c r="C289" s="251">
        <f>[1]預算外選單資料來源!C288</f>
        <v/>
      </c>
      <c r="D289" s="251">
        <f>[1]預算外選單資料來源!D288</f>
        <v/>
      </c>
      <c r="E289" s="251">
        <f>[1]預算外選單資料來源!E288</f>
        <v/>
      </c>
      <c r="F289" s="251">
        <f>[1]預算外選單資料來源!F288</f>
        <v/>
      </c>
    </row>
    <row r="290" ht="16.5" customHeight="1" s="124">
      <c r="B290" s="251">
        <f>[1]預算外選單資料來源!B289</f>
        <v/>
      </c>
      <c r="C290" s="251">
        <f>[1]預算外選單資料來源!C289</f>
        <v/>
      </c>
      <c r="D290" s="251">
        <f>[1]預算外選單資料來源!D289</f>
        <v/>
      </c>
      <c r="E290" s="251">
        <f>[1]預算外選單資料來源!E289</f>
        <v/>
      </c>
      <c r="F290" s="251">
        <f>[1]預算外選單資料來源!F289</f>
        <v/>
      </c>
    </row>
    <row r="291" ht="16.5" customHeight="1" s="124">
      <c r="B291" s="251">
        <f>[1]預算外選單資料來源!B290</f>
        <v/>
      </c>
      <c r="C291" s="251">
        <f>[1]預算外選單資料來源!C290</f>
        <v/>
      </c>
      <c r="D291" s="251">
        <f>[1]預算外選單資料來源!D290</f>
        <v/>
      </c>
      <c r="E291" s="251">
        <f>[1]預算外選單資料來源!E290</f>
        <v/>
      </c>
      <c r="F291" s="251">
        <f>[1]預算外選單資料來源!F290</f>
        <v/>
      </c>
    </row>
    <row r="292" ht="33" customHeight="1" s="124">
      <c r="B292" s="251">
        <f>[1]預算外選單資料來源!B291</f>
        <v/>
      </c>
      <c r="C292" s="251">
        <f>[1]預算外選單資料來源!C291</f>
        <v/>
      </c>
      <c r="D292" s="251">
        <f>[1]預算外選單資料來源!D291</f>
        <v/>
      </c>
      <c r="E292" s="251">
        <f>[1]預算外選單資料來源!E291</f>
        <v/>
      </c>
      <c r="F292" s="251">
        <f>[1]預算外選單資料來源!F291</f>
        <v/>
      </c>
    </row>
    <row r="293" ht="16.5" customHeight="1" s="124">
      <c r="B293" s="251">
        <f>[1]預算外選單資料來源!B292</f>
        <v/>
      </c>
      <c r="C293" s="251">
        <f>[1]預算外選單資料來源!C292</f>
        <v/>
      </c>
      <c r="D293" s="251">
        <f>[1]預算外選單資料來源!D292</f>
        <v/>
      </c>
      <c r="E293" s="251">
        <f>[1]預算外選單資料來源!E292</f>
        <v/>
      </c>
      <c r="F293" s="251">
        <f>[1]預算外選單資料來源!F292</f>
        <v/>
      </c>
    </row>
    <row r="294" ht="16.5" customHeight="1" s="124">
      <c r="B294" s="251">
        <f>[1]預算外選單資料來源!B293</f>
        <v/>
      </c>
      <c r="C294" s="251">
        <f>[1]預算外選單資料來源!C293</f>
        <v/>
      </c>
      <c r="D294" s="251">
        <f>[1]預算外選單資料來源!D293</f>
        <v/>
      </c>
      <c r="E294" s="251">
        <f>[1]預算外選單資料來源!E293</f>
        <v/>
      </c>
      <c r="F294" s="251">
        <f>[1]預算外選單資料來源!F293</f>
        <v/>
      </c>
    </row>
    <row r="295" ht="16.5" customHeight="1" s="124">
      <c r="B295" s="251">
        <f>[1]預算外選單資料來源!B294</f>
        <v/>
      </c>
      <c r="C295" s="251">
        <f>[1]預算外選單資料來源!C294</f>
        <v/>
      </c>
      <c r="D295" s="251">
        <f>[1]預算外選單資料來源!D294</f>
        <v/>
      </c>
      <c r="E295" s="251">
        <f>[1]預算外選單資料來源!E294</f>
        <v/>
      </c>
      <c r="F295" s="251">
        <f>[1]預算外選單資料來源!F294</f>
        <v/>
      </c>
    </row>
    <row r="296" ht="16.5" customHeight="1" s="124">
      <c r="B296" s="251">
        <f>[1]預算外選單資料來源!B295</f>
        <v/>
      </c>
      <c r="C296" s="251">
        <f>[1]預算外選單資料來源!C295</f>
        <v/>
      </c>
      <c r="D296" s="251">
        <f>[1]預算外選單資料來源!D295</f>
        <v/>
      </c>
      <c r="E296" s="251">
        <f>[1]預算外選單資料來源!E295</f>
        <v/>
      </c>
      <c r="F296" s="251">
        <f>[1]預算外選單資料來源!F295</f>
        <v/>
      </c>
    </row>
    <row r="297" ht="16.5" customHeight="1" s="124">
      <c r="B297" s="251">
        <f>[1]預算外選單資料來源!B296</f>
        <v/>
      </c>
      <c r="C297" s="251">
        <f>[1]預算外選單資料來源!C296</f>
        <v/>
      </c>
      <c r="D297" s="251">
        <f>[1]預算外選單資料來源!D296</f>
        <v/>
      </c>
      <c r="E297" s="251">
        <f>[1]預算外選單資料來源!E296</f>
        <v/>
      </c>
      <c r="F297" s="251">
        <f>[1]預算外選單資料來源!F296</f>
        <v/>
      </c>
    </row>
    <row r="298" ht="16.5" customHeight="1" s="124">
      <c r="B298" s="251">
        <f>[1]預算外選單資料來源!B297</f>
        <v/>
      </c>
      <c r="C298" s="251">
        <f>[1]預算外選單資料來源!C297</f>
        <v/>
      </c>
      <c r="D298" s="251">
        <f>[1]預算外選單資料來源!D297</f>
        <v/>
      </c>
      <c r="E298" s="251">
        <f>[1]預算外選單資料來源!E297</f>
        <v/>
      </c>
      <c r="F298" s="251">
        <f>[1]預算外選單資料來源!F297</f>
        <v/>
      </c>
    </row>
    <row r="299" ht="16.5" customHeight="1" s="124">
      <c r="B299" s="251">
        <f>[1]預算外選單資料來源!B298</f>
        <v/>
      </c>
      <c r="C299" s="251">
        <f>[1]預算外選單資料來源!C298</f>
        <v/>
      </c>
      <c r="D299" s="251">
        <f>[1]預算外選單資料來源!D298</f>
        <v/>
      </c>
      <c r="E299" s="251">
        <f>[1]預算外選單資料來源!E298</f>
        <v/>
      </c>
      <c r="F299" s="251">
        <f>[1]預算外選單資料來源!F298</f>
        <v/>
      </c>
    </row>
    <row r="300" ht="16.5" customHeight="1" s="124">
      <c r="B300" s="251">
        <f>[1]預算外選單資料來源!B299</f>
        <v/>
      </c>
      <c r="C300" s="251">
        <f>[1]預算外選單資料來源!C299</f>
        <v/>
      </c>
      <c r="D300" s="251">
        <f>[1]預算外選單資料來源!D299</f>
        <v/>
      </c>
      <c r="E300" s="251">
        <f>[1]預算外選單資料來源!E299</f>
        <v/>
      </c>
      <c r="F300" s="251">
        <f>[1]預算外選單資料來源!F299</f>
        <v/>
      </c>
    </row>
    <row r="301" ht="16.5" customHeight="1" s="124">
      <c r="B301" s="251">
        <f>[1]預算外選單資料來源!B300</f>
        <v/>
      </c>
      <c r="C301" s="251">
        <f>[1]預算外選單資料來源!C300</f>
        <v/>
      </c>
      <c r="D301" s="251">
        <f>[1]預算外選單資料來源!D300</f>
        <v/>
      </c>
      <c r="E301" s="251">
        <f>[1]預算外選單資料來源!E300</f>
        <v/>
      </c>
      <c r="F301" s="251">
        <f>[1]預算外選單資料來源!F300</f>
        <v/>
      </c>
    </row>
    <row r="302" ht="16.5" customHeight="1" s="124">
      <c r="B302" s="251">
        <f>[1]預算外選單資料來源!B301</f>
        <v/>
      </c>
      <c r="C302" s="251">
        <f>[1]預算外選單資料來源!C301</f>
        <v/>
      </c>
      <c r="D302" s="251">
        <f>[1]預算外選單資料來源!D301</f>
        <v/>
      </c>
      <c r="E302" s="251">
        <f>[1]預算外選單資料來源!E301</f>
        <v/>
      </c>
      <c r="F302" s="251">
        <f>[1]預算外選單資料來源!F301</f>
        <v/>
      </c>
    </row>
    <row r="303" ht="16.5" customHeight="1" s="124">
      <c r="B303" s="251">
        <f>[1]預算外選單資料來源!B302</f>
        <v/>
      </c>
      <c r="C303" s="251">
        <f>[1]預算外選單資料來源!C302</f>
        <v/>
      </c>
      <c r="D303" s="251">
        <f>[1]預算外選單資料來源!D302</f>
        <v/>
      </c>
      <c r="E303" s="251">
        <f>[1]預算外選單資料來源!E302</f>
        <v/>
      </c>
      <c r="F303" s="251">
        <f>[1]預算外選單資料來源!F302</f>
        <v/>
      </c>
    </row>
    <row r="304" ht="16.5" customHeight="1" s="124">
      <c r="B304" s="251">
        <f>[1]預算外選單資料來源!B303</f>
        <v/>
      </c>
      <c r="C304" s="251">
        <f>[1]預算外選單資料來源!C303</f>
        <v/>
      </c>
      <c r="D304" s="251">
        <f>[1]預算外選單資料來源!D303</f>
        <v/>
      </c>
      <c r="E304" s="251">
        <f>[1]預算外選單資料來源!E303</f>
        <v/>
      </c>
      <c r="F304" s="251">
        <f>[1]預算外選單資料來源!F303</f>
        <v/>
      </c>
    </row>
    <row r="305" ht="16.5" customHeight="1" s="124">
      <c r="B305" s="251">
        <f>[1]預算外選單資料來源!B304</f>
        <v/>
      </c>
      <c r="C305" s="251">
        <f>[1]預算外選單資料來源!C304</f>
        <v/>
      </c>
      <c r="D305" s="251">
        <f>[1]預算外選單資料來源!D304</f>
        <v/>
      </c>
      <c r="E305" s="251">
        <f>[1]預算外選單資料來源!E304</f>
        <v/>
      </c>
      <c r="F305" s="251">
        <f>[1]預算外選單資料來源!F304</f>
        <v/>
      </c>
    </row>
    <row r="306" ht="16.5" customHeight="1" s="124">
      <c r="B306" s="251">
        <f>[1]預算外選單資料來源!B305</f>
        <v/>
      </c>
      <c r="C306" s="251">
        <f>[1]預算外選單資料來源!C305</f>
        <v/>
      </c>
      <c r="D306" s="251">
        <f>[1]預算外選單資料來源!D305</f>
        <v/>
      </c>
      <c r="E306" s="251">
        <f>[1]預算外選單資料來源!E305</f>
        <v/>
      </c>
      <c r="F306" s="251">
        <f>[1]預算外選單資料來源!F305</f>
        <v/>
      </c>
    </row>
    <row r="307" ht="16.5" customHeight="1" s="124">
      <c r="B307" s="251">
        <f>[1]預算外選單資料來源!B306</f>
        <v/>
      </c>
      <c r="C307" s="251">
        <f>[1]預算外選單資料來源!C306</f>
        <v/>
      </c>
      <c r="D307" s="251">
        <f>[1]預算外選單資料來源!D306</f>
        <v/>
      </c>
      <c r="E307" s="251">
        <f>[1]預算外選單資料來源!E306</f>
        <v/>
      </c>
      <c r="F307" s="251">
        <f>[1]預算外選單資料來源!F306</f>
        <v/>
      </c>
    </row>
    <row r="308" ht="16.5" customHeight="1" s="124">
      <c r="B308" s="251">
        <f>[1]預算外選單資料來源!B307</f>
        <v/>
      </c>
      <c r="C308" s="251">
        <f>[1]預算外選單資料來源!C307</f>
        <v/>
      </c>
      <c r="D308" s="251">
        <f>[1]預算外選單資料來源!D307</f>
        <v/>
      </c>
      <c r="E308" s="251">
        <f>[1]預算外選單資料來源!E307</f>
        <v/>
      </c>
      <c r="F308" s="251">
        <f>[1]預算外選單資料來源!F307</f>
        <v/>
      </c>
    </row>
    <row r="309" ht="16.5" customHeight="1" s="124">
      <c r="B309" s="251">
        <f>[1]預算外選單資料來源!B308</f>
        <v/>
      </c>
      <c r="C309" s="251">
        <f>[1]預算外選單資料來源!C308</f>
        <v/>
      </c>
      <c r="D309" s="251">
        <f>[1]預算外選單資料來源!D308</f>
        <v/>
      </c>
      <c r="E309" s="251">
        <f>[1]預算外選單資料來源!E308</f>
        <v/>
      </c>
      <c r="F309" s="251">
        <f>[1]預算外選單資料來源!F308</f>
        <v/>
      </c>
    </row>
    <row r="310" ht="16.5" customHeight="1" s="124">
      <c r="B310" s="251">
        <f>[1]預算外選單資料來源!B309</f>
        <v/>
      </c>
      <c r="C310" s="251">
        <f>[1]預算外選單資料來源!C309</f>
        <v/>
      </c>
      <c r="D310" s="251">
        <f>[1]預算外選單資料來源!D309</f>
        <v/>
      </c>
      <c r="E310" s="251">
        <f>[1]預算外選單資料來源!E309</f>
        <v/>
      </c>
      <c r="F310" s="251">
        <f>[1]預算外選單資料來源!F309</f>
        <v/>
      </c>
    </row>
    <row r="311" ht="16.5" customHeight="1" s="124">
      <c r="B311" s="251">
        <f>[1]預算外選單資料來源!B310</f>
        <v/>
      </c>
      <c r="C311" s="251">
        <f>[1]預算外選單資料來源!C310</f>
        <v/>
      </c>
      <c r="D311" s="251">
        <f>[1]預算外選單資料來源!D310</f>
        <v/>
      </c>
      <c r="E311" s="251">
        <f>[1]預算外選單資料來源!E310</f>
        <v/>
      </c>
      <c r="F311" s="251">
        <f>[1]預算外選單資料來源!F310</f>
        <v/>
      </c>
    </row>
    <row r="312" ht="16.5" customHeight="1" s="124">
      <c r="B312" s="251">
        <f>[1]預算外選單資料來源!B311</f>
        <v/>
      </c>
      <c r="C312" s="251">
        <f>[1]預算外選單資料來源!C311</f>
        <v/>
      </c>
      <c r="D312" s="251">
        <f>[1]預算外選單資料來源!D311</f>
        <v/>
      </c>
      <c r="E312" s="251">
        <f>[1]預算外選單資料來源!E311</f>
        <v/>
      </c>
      <c r="F312" s="251">
        <f>[1]預算外選單資料來源!F311</f>
        <v/>
      </c>
    </row>
    <row r="313" ht="16.5" customHeight="1" s="124">
      <c r="B313" s="251">
        <f>[1]預算外選單資料來源!B312</f>
        <v/>
      </c>
      <c r="C313" s="251">
        <f>[1]預算外選單資料來源!C312</f>
        <v/>
      </c>
      <c r="D313" s="251">
        <f>[1]預算外選單資料來源!D312</f>
        <v/>
      </c>
      <c r="E313" s="251">
        <f>[1]預算外選單資料來源!E312</f>
        <v/>
      </c>
      <c r="F313" s="251">
        <f>[1]預算外選單資料來源!F312</f>
        <v/>
      </c>
    </row>
    <row r="314" ht="16.5" customHeight="1" s="124">
      <c r="B314" s="251">
        <f>[1]預算外選單資料來源!B313</f>
        <v/>
      </c>
      <c r="C314" s="251">
        <f>[1]預算外選單資料來源!C313</f>
        <v/>
      </c>
      <c r="D314" s="251">
        <f>[1]預算外選單資料來源!D313</f>
        <v/>
      </c>
      <c r="E314" s="251">
        <f>[1]預算外選單資料來源!E313</f>
        <v/>
      </c>
      <c r="F314" s="251">
        <f>[1]預算外選單資料來源!F313</f>
        <v/>
      </c>
    </row>
    <row r="315" ht="16.5" customHeight="1" s="124">
      <c r="B315" s="251">
        <f>[1]預算外選單資料來源!B314</f>
        <v/>
      </c>
      <c r="C315" s="251">
        <f>[1]預算外選單資料來源!C314</f>
        <v/>
      </c>
      <c r="D315" s="251">
        <f>[1]預算外選單資料來源!D314</f>
        <v/>
      </c>
      <c r="E315" s="251">
        <f>[1]預算外選單資料來源!E314</f>
        <v/>
      </c>
      <c r="F315" s="251">
        <f>[1]預算外選單資料來源!F314</f>
        <v/>
      </c>
    </row>
    <row r="316" ht="16.5" customHeight="1" s="124">
      <c r="B316" s="251">
        <f>[1]預算外選單資料來源!B315</f>
        <v/>
      </c>
      <c r="C316" s="251">
        <f>[1]預算外選單資料來源!C315</f>
        <v/>
      </c>
      <c r="D316" s="251">
        <f>[1]預算外選單資料來源!D315</f>
        <v/>
      </c>
      <c r="E316" s="251">
        <f>[1]預算外選單資料來源!E315</f>
        <v/>
      </c>
      <c r="F316" s="251">
        <f>[1]預算外選單資料來源!F315</f>
        <v/>
      </c>
    </row>
    <row r="317" ht="16.5" customHeight="1" s="124">
      <c r="B317" s="251">
        <f>[1]預算外選單資料來源!B316</f>
        <v/>
      </c>
    </row>
    <row r="318" ht="16.5" customHeight="1" s="124">
      <c r="B318" s="251">
        <f>[1]預算外選單資料來源!B317</f>
        <v/>
      </c>
    </row>
    <row r="319" ht="16.5" customHeight="1" s="124">
      <c r="B319" s="251">
        <f>[1]預算外選單資料來源!B318</f>
        <v/>
      </c>
    </row>
    <row r="320" ht="16.5" customHeight="1" s="124">
      <c r="B320" s="251">
        <f>[1]預算外選單資料來源!B319</f>
        <v/>
      </c>
    </row>
    <row r="321" ht="16.5" customHeight="1" s="124">
      <c r="B321" s="251">
        <f>[1]預算外選單資料來源!B320</f>
        <v/>
      </c>
    </row>
    <row r="322" ht="16.5" customHeight="1" s="124">
      <c r="B322" s="251">
        <f>[1]預算外選單資料來源!B321</f>
        <v/>
      </c>
    </row>
  </sheetData>
  <dataValidations count="4">
    <dataValidation sqref="A2" showDropDown="0" showInputMessage="0" showErrorMessage="1" allowBlank="1" type="list" errorStyle="stop" operator="between">
      <formula1>應付代收款</formula1>
      <formula2>0</formula2>
    </dataValidation>
    <dataValidation sqref="A3" showDropDown="0" showInputMessage="0" showErrorMessage="1" allowBlank="1" type="list" errorStyle="stop" operator="between">
      <formula1>履約保證金</formula1>
      <formula2>0</formula2>
    </dataValidation>
    <dataValidation sqref="A4" showDropDown="0" showInputMessage="0" showErrorMessage="1" allowBlank="1" type="list" errorStyle="stop" operator="between">
      <formula1>保固金</formula1>
      <formula2>0</formula2>
    </dataValidation>
    <dataValidation sqref="A5:A6" showDropDown="0" showInputMessage="0" showErrorMessage="1" allowBlank="1" type="list" errorStyle="stop" operator="between">
      <formula1>暫收及待結轉帳項</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737"/>
  <sheetViews>
    <sheetView showFormulas="0" showGridLines="1" showRowColHeaders="1" showZeros="0" rightToLeft="0" tabSelected="0" showOutlineSymbols="1" defaultGridColor="1" view="normal" topLeftCell="A1" colorId="64" zoomScale="100" zoomScaleNormal="100" zoomScalePageLayoutView="100" workbookViewId="0">
      <selection pane="topLeft" activeCell="D5" activeCellId="0" sqref="D5"/>
    </sheetView>
  </sheetViews>
  <sheetFormatPr baseColWidth="8" defaultColWidth="8.9921875" defaultRowHeight="16.5" zeroHeight="0" outlineLevelRow="0"/>
  <cols>
    <col width="31.87" customWidth="1" style="123" min="1" max="1"/>
    <col width="16.87" customWidth="1" style="254" min="2" max="2"/>
    <col width="22.99" customWidth="1" style="252" min="3" max="3"/>
    <col width="20.24" customWidth="1" style="251" min="4" max="4"/>
    <col width="11.74" customWidth="1" style="261" min="5" max="6"/>
    <col width="25.99" customWidth="1" style="262" min="7" max="7"/>
    <col width="11.74" customWidth="1" style="263" min="8" max="8"/>
    <col width="16.36" customWidth="1" style="254" min="9" max="9"/>
    <col width="13.87" customWidth="1" style="264" min="10" max="10"/>
    <col width="11.74" customWidth="1" style="252" min="11" max="11"/>
    <col width="11.74" customWidth="1" style="253" min="12" max="12"/>
    <col width="8.99" customWidth="1" style="265" min="13" max="257"/>
  </cols>
  <sheetData>
    <row r="1" ht="33" customHeight="1" s="124">
      <c r="A1" s="266" t="inlineStr">
        <is>
          <t>預算科目</t>
        </is>
      </c>
      <c r="B1" s="260">
        <f>[1]預算內選單資料來源!B1</f>
        <v/>
      </c>
      <c r="C1" s="260">
        <f>[1]預算內選單資料來源!C1</f>
        <v/>
      </c>
      <c r="D1" s="260">
        <f>[1]預算內選單資料來源!D1</f>
        <v/>
      </c>
      <c r="E1" s="260">
        <f>[1]預算內選單資料來源!E1</f>
        <v/>
      </c>
      <c r="F1" s="260">
        <f>[1]預算內選單資料來源!F1</f>
        <v/>
      </c>
      <c r="G1" s="260">
        <f>[1]預算內選單資料來源!G1</f>
        <v/>
      </c>
      <c r="H1" s="260">
        <f>[1]預算內選單資料來源!H1</f>
        <v/>
      </c>
      <c r="I1" s="260">
        <f>[1]預算內選單資料來源!I1</f>
        <v/>
      </c>
      <c r="J1" s="260">
        <f>[1]預算內選單資料來源!J1</f>
        <v/>
      </c>
      <c r="K1" s="260">
        <f>[1]預算內選單資料來源!K1</f>
        <v/>
      </c>
      <c r="L1" s="260">
        <f>[1]預算內選單資料來源!L1</f>
        <v/>
      </c>
    </row>
    <row r="2" ht="33" customHeight="1" s="124">
      <c r="A2" s="259" t="inlineStr">
        <is>
          <t>用人費用</t>
        </is>
      </c>
      <c r="B2" s="260">
        <f>[1]預算內選單資料來源!B2</f>
        <v/>
      </c>
      <c r="C2" s="260">
        <f>[1]預算內選單資料來源!C2</f>
        <v/>
      </c>
      <c r="D2" s="260">
        <f>[1]預算內選單資料來源!D2</f>
        <v/>
      </c>
      <c r="E2" s="260">
        <f>[1]預算內選單資料來源!E2</f>
        <v/>
      </c>
      <c r="F2" s="260">
        <f>[1]預算內選單資料來源!F2</f>
        <v/>
      </c>
      <c r="G2" s="260">
        <f>[1]預算內選單資料來源!G2</f>
        <v/>
      </c>
      <c r="H2" s="260">
        <f>[1]預算內選單資料來源!H2</f>
        <v/>
      </c>
      <c r="I2" s="260">
        <f>[1]預算內選單資料來源!I2</f>
        <v/>
      </c>
      <c r="J2" s="260">
        <f>[1]預算內選單資料來源!J2</f>
        <v/>
      </c>
      <c r="K2" s="260">
        <f>[1]預算內選單資料來源!K2</f>
        <v/>
      </c>
      <c r="L2" s="260">
        <f>[1]預算內選單資料來源!L2</f>
        <v/>
      </c>
    </row>
    <row r="3" ht="33" customHeight="1" s="124">
      <c r="A3" s="259" t="inlineStr">
        <is>
          <t>服務費用</t>
        </is>
      </c>
      <c r="B3" s="260">
        <f>[1]預算內選單資料來源!B3</f>
        <v/>
      </c>
      <c r="C3" s="260">
        <f>[1]預算內選單資料來源!C3</f>
        <v/>
      </c>
      <c r="D3" s="260">
        <f>[1]預算內選單資料來源!D3</f>
        <v/>
      </c>
      <c r="E3" s="260">
        <f>[1]預算內選單資料來源!E3</f>
        <v/>
      </c>
      <c r="F3" s="260">
        <f>[1]預算內選單資料來源!F3</f>
        <v/>
      </c>
      <c r="G3" s="260">
        <f>[1]預算內選單資料來源!G3</f>
        <v/>
      </c>
      <c r="H3" s="260">
        <f>[1]預算內選單資料來源!H3</f>
        <v/>
      </c>
      <c r="I3" s="260">
        <f>[1]預算內選單資料來源!I3</f>
        <v/>
      </c>
      <c r="J3" s="260">
        <f>[1]預算內選單資料來源!J3</f>
        <v/>
      </c>
      <c r="K3" s="260">
        <f>[1]預算內選單資料來源!K3</f>
        <v/>
      </c>
      <c r="L3" s="260">
        <f>[1]預算內選單資料來源!L3</f>
        <v/>
      </c>
    </row>
    <row r="4" ht="16.5" customHeight="1" s="124">
      <c r="A4" s="259" t="inlineStr">
        <is>
          <t>材料及用品費</t>
        </is>
      </c>
      <c r="B4" s="260">
        <f>[1]預算內選單資料來源!B4</f>
        <v/>
      </c>
      <c r="C4" s="260">
        <f>[1]預算內選單資料來源!C4</f>
        <v/>
      </c>
      <c r="D4" s="260">
        <f>[1]預算內選單資料來源!D4</f>
        <v/>
      </c>
      <c r="E4" s="260">
        <f>[1]預算內選單資料來源!E4</f>
        <v/>
      </c>
      <c r="F4" s="260">
        <f>[1]預算內選單資料來源!F4</f>
        <v/>
      </c>
      <c r="G4" s="260">
        <f>[1]預算內選單資料來源!G4</f>
        <v/>
      </c>
      <c r="H4" s="260">
        <f>[1]預算內選單資料來源!H4</f>
        <v/>
      </c>
      <c r="I4" s="260">
        <f>[1]預算內選單資料來源!I4</f>
        <v/>
      </c>
      <c r="J4" s="260">
        <f>[1]預算內選單資料來源!J4</f>
        <v/>
      </c>
      <c r="K4" s="260">
        <f>[1]預算內選單資料來源!K4</f>
        <v/>
      </c>
      <c r="L4" s="260">
        <f>[1]預算內選單資料來源!L4</f>
        <v/>
      </c>
    </row>
    <row r="5" ht="33" customHeight="1" s="124">
      <c r="A5" s="259" t="inlineStr">
        <is>
          <t>租金、償債與利息</t>
        </is>
      </c>
      <c r="B5" s="260">
        <f>[1]預算內選單資料來源!B5</f>
        <v/>
      </c>
      <c r="C5" s="260">
        <f>[1]預算內選單資料來源!C5</f>
        <v/>
      </c>
      <c r="D5" s="260">
        <f>[1]預算內選單資料來源!D5</f>
        <v/>
      </c>
      <c r="E5" s="260">
        <f>[1]預算內選單資料來源!E5</f>
        <v/>
      </c>
      <c r="F5" s="260">
        <f>[1]預算內選單資料來源!F5</f>
        <v/>
      </c>
      <c r="G5" s="260">
        <f>[1]預算內選單資料來源!G5</f>
        <v/>
      </c>
      <c r="H5" s="260">
        <f>[1]預算內選單資料來源!H5</f>
        <v/>
      </c>
      <c r="I5" s="260">
        <f>[1]預算內選單資料來源!I5</f>
        <v/>
      </c>
      <c r="J5" s="260">
        <f>[1]預算內選單資料來源!J5</f>
        <v/>
      </c>
      <c r="K5" s="260">
        <f>[1]預算內選單資料來源!K5</f>
        <v/>
      </c>
      <c r="L5" s="260">
        <f>[1]預算內選單資料來源!L5</f>
        <v/>
      </c>
    </row>
    <row r="6" ht="16.5" customHeight="1" s="124">
      <c r="A6" s="259" t="inlineStr">
        <is>
          <t>稅捐及規費</t>
        </is>
      </c>
      <c r="B6" s="260">
        <f>[1]預算內選單資料來源!B6</f>
        <v/>
      </c>
      <c r="C6" s="260">
        <f>[1]預算內選單資料來源!C6</f>
        <v/>
      </c>
      <c r="D6" s="260">
        <f>[1]預算內選單資料來源!D6</f>
        <v/>
      </c>
      <c r="E6" s="260">
        <f>[1]預算內選單資料來源!E6</f>
        <v/>
      </c>
      <c r="F6" s="260">
        <f>[1]預算內選單資料來源!F6</f>
        <v/>
      </c>
      <c r="G6" s="260">
        <f>[1]預算內選單資料來源!G6</f>
        <v/>
      </c>
      <c r="H6" s="260">
        <f>[1]預算內選單資料來源!H6</f>
        <v/>
      </c>
      <c r="I6" s="260">
        <f>[1]預算內選單資料來源!I6</f>
        <v/>
      </c>
      <c r="J6" s="260">
        <f>[1]預算內選單資料來源!J6</f>
        <v/>
      </c>
      <c r="K6" s="260">
        <f>[1]預算內選單資料來源!K6</f>
        <v/>
      </c>
      <c r="L6" s="260">
        <f>[1]預算內選單資料來源!L6</f>
        <v/>
      </c>
    </row>
    <row r="7" ht="31.9" customHeight="1" s="124">
      <c r="A7" s="259" t="inlineStr">
        <is>
          <t>會費、捐助、補助、分攤、照護、救濟與交流活動費</t>
        </is>
      </c>
      <c r="B7" s="260">
        <f>[1]預算內選單資料來源!B7</f>
        <v/>
      </c>
      <c r="C7" s="260">
        <f>[1]預算內選單資料來源!C7</f>
        <v/>
      </c>
      <c r="D7" s="260">
        <f>[1]預算內選單資料來源!D7</f>
        <v/>
      </c>
      <c r="E7" s="260">
        <f>[1]預算內選單資料來源!E7</f>
        <v/>
      </c>
      <c r="F7" s="260">
        <f>[1]預算內選單資料來源!F7</f>
        <v/>
      </c>
      <c r="G7" s="260">
        <f>[1]預算內選單資料來源!G7</f>
        <v/>
      </c>
      <c r="H7" s="260">
        <f>[1]預算內選單資料來源!H7</f>
        <v/>
      </c>
      <c r="I7" s="260">
        <f>[1]預算內選單資料來源!I7</f>
        <v/>
      </c>
      <c r="J7" s="260">
        <f>[1]預算內選單資料來源!J7</f>
        <v/>
      </c>
      <c r="K7" s="260">
        <f>[1]預算內選單資料來源!K7</f>
        <v/>
      </c>
      <c r="L7" s="260">
        <f>[1]預算內選單資料來源!L7</f>
        <v/>
      </c>
    </row>
    <row r="8" ht="16.5" customHeight="1" s="124">
      <c r="A8" s="259" t="inlineStr">
        <is>
          <t>其他</t>
        </is>
      </c>
      <c r="B8" s="260">
        <f>[1]預算內選單資料來源!B8</f>
        <v/>
      </c>
      <c r="C8" s="260">
        <f>[1]預算內選單資料來源!C8</f>
        <v/>
      </c>
      <c r="D8" s="260">
        <f>[1]預算內選單資料來源!D8</f>
        <v/>
      </c>
      <c r="E8" s="260">
        <f>[1]預算內選單資料來源!E8</f>
        <v/>
      </c>
      <c r="F8" s="260">
        <f>[1]預算內選單資料來源!F8</f>
        <v/>
      </c>
      <c r="G8" s="260">
        <f>[1]預算內選單資料來源!G8</f>
        <v/>
      </c>
      <c r="H8" s="260">
        <f>[1]預算內選單資料來源!H8</f>
        <v/>
      </c>
      <c r="I8" s="260">
        <f>[1]預算內選單資料來源!I8</f>
        <v/>
      </c>
      <c r="J8" s="260">
        <f>[1]預算內選單資料來源!J8</f>
        <v/>
      </c>
      <c r="K8" s="260">
        <f>[1]預算內選單資料來源!K8</f>
        <v/>
      </c>
      <c r="L8" s="260">
        <f>[1]預算內選單資料來源!L8</f>
        <v/>
      </c>
    </row>
    <row r="9" ht="16.5" customHeight="1" s="124">
      <c r="A9" s="259" t="inlineStr">
        <is>
          <t>營建及修建工程</t>
        </is>
      </c>
      <c r="B9" s="260">
        <f>[1]預算內選單資料來源!B9</f>
        <v/>
      </c>
      <c r="C9" s="260">
        <f>[1]預算內選單資料來源!C9</f>
        <v/>
      </c>
      <c r="D9" s="260">
        <f>[1]預算內選單資料來源!D9</f>
        <v/>
      </c>
      <c r="E9" s="260">
        <f>[1]預算內選單資料來源!E9</f>
        <v/>
      </c>
      <c r="F9" s="260">
        <f>[1]預算內選單資料來源!F9</f>
        <v/>
      </c>
      <c r="G9" s="260">
        <f>[1]預算內選單資料來源!G9</f>
        <v/>
      </c>
      <c r="H9" s="260">
        <f>[1]預算內選單資料來源!H9</f>
        <v/>
      </c>
      <c r="I9" s="260">
        <f>[1]預算內選單資料來源!I9</f>
        <v/>
      </c>
      <c r="J9" s="260">
        <f>[1]預算內選單資料來源!J9</f>
        <v/>
      </c>
      <c r="K9" s="260">
        <f>[1]預算內選單資料來源!K9</f>
        <v/>
      </c>
      <c r="L9" s="260">
        <f>[1]預算內選單資料來源!L9</f>
        <v/>
      </c>
    </row>
    <row r="10" ht="16.5" customHeight="1" s="124">
      <c r="A10" s="259" t="inlineStr">
        <is>
          <t>交通及運輸設備</t>
        </is>
      </c>
      <c r="B10" s="260">
        <f>[1]預算內選單資料來源!B10</f>
        <v/>
      </c>
      <c r="C10" s="260">
        <f>[1]預算內選單資料來源!C10</f>
        <v/>
      </c>
      <c r="D10" s="260">
        <f>[1]預算內選單資料來源!D10</f>
        <v/>
      </c>
      <c r="E10" s="260">
        <f>[1]預算內選單資料來源!E10</f>
        <v/>
      </c>
      <c r="F10" s="260">
        <f>[1]預算內選單資料來源!F10</f>
        <v/>
      </c>
      <c r="G10" s="260">
        <f>[1]預算內選單資料來源!G10</f>
        <v/>
      </c>
      <c r="H10" s="260">
        <f>[1]預算內選單資料來源!H10</f>
        <v/>
      </c>
      <c r="I10" s="260">
        <f>[1]預算內選單資料來源!I10</f>
        <v/>
      </c>
      <c r="J10" s="260">
        <f>[1]預算內選單資料來源!J10</f>
        <v/>
      </c>
      <c r="K10" s="260">
        <f>[1]預算內選單資料來源!K10</f>
        <v/>
      </c>
      <c r="L10" s="260">
        <f>[1]預算內選單資料來源!L10</f>
        <v/>
      </c>
    </row>
    <row r="11" ht="33" customHeight="1" s="124">
      <c r="A11" s="259" t="inlineStr">
        <is>
          <t>其他設備</t>
        </is>
      </c>
      <c r="B11" s="260">
        <f>[1]預算內選單資料來源!B11</f>
        <v/>
      </c>
      <c r="C11" s="260">
        <f>[1]預算內選單資料來源!C11</f>
        <v/>
      </c>
      <c r="D11" s="260">
        <f>[1]預算內選單資料來源!D11</f>
        <v/>
      </c>
      <c r="E11" s="260">
        <f>[1]預算內選單資料來源!E11</f>
        <v/>
      </c>
      <c r="F11" s="260">
        <f>[1]預算內選單資料來源!F11</f>
        <v/>
      </c>
      <c r="G11" s="260">
        <f>[1]預算內選單資料來源!G11</f>
        <v/>
      </c>
      <c r="H11" s="260">
        <f>[1]預算內選單資料來源!H11</f>
        <v/>
      </c>
      <c r="I11" s="260">
        <f>[1]預算內選單資料來源!I11</f>
        <v/>
      </c>
      <c r="J11" s="260">
        <f>[1]預算內選單資料來源!J11</f>
        <v/>
      </c>
      <c r="K11" s="260">
        <f>[1]預算內選單資料來源!K11</f>
        <v/>
      </c>
      <c r="L11" s="260">
        <f>[1]預算內選單資料來源!L11</f>
        <v/>
      </c>
    </row>
    <row r="12" ht="33" customHeight="1" s="124">
      <c r="A12" s="259" t="inlineStr">
        <is>
          <t>無形資產</t>
        </is>
      </c>
      <c r="B12" s="260">
        <f>[1]預算內選單資料來源!B12</f>
        <v/>
      </c>
      <c r="C12" s="260">
        <f>[1]預算內選單資料來源!C12</f>
        <v/>
      </c>
      <c r="D12" s="260">
        <f>[1]預算內選單資料來源!D12</f>
        <v/>
      </c>
      <c r="E12" s="260">
        <f>[1]預算內選單資料來源!E12</f>
        <v/>
      </c>
      <c r="F12" s="260">
        <f>[1]預算內選單資料來源!F12</f>
        <v/>
      </c>
      <c r="G12" s="260">
        <f>[1]預算內選單資料來源!G12</f>
        <v/>
      </c>
      <c r="H12" s="260">
        <f>[1]預算內選單資料來源!H12</f>
        <v/>
      </c>
      <c r="I12" s="260">
        <f>[1]預算內選單資料來源!I12</f>
        <v/>
      </c>
      <c r="J12" s="260">
        <f>[1]預算內選單資料來源!J12</f>
        <v/>
      </c>
      <c r="K12" s="260">
        <f>[1]預算內選單資料來源!K12</f>
        <v/>
      </c>
      <c r="L12" s="260">
        <f>[1]預算內選單資料來源!L12</f>
        <v/>
      </c>
    </row>
    <row r="13" ht="33" customHeight="1" s="124">
      <c r="A13" s="123">
        <f>[1]預算內選單資料來源!A13</f>
        <v/>
      </c>
      <c r="B13" s="260">
        <f>[1]預算內選單資料來源!B13</f>
        <v/>
      </c>
      <c r="C13" s="260">
        <f>[1]預算內選單資料來源!C13</f>
        <v/>
      </c>
      <c r="D13" s="260">
        <f>[1]預算內選單資料來源!D13</f>
        <v/>
      </c>
      <c r="E13" s="260">
        <f>[1]預算內選單資料來源!E13</f>
        <v/>
      </c>
      <c r="F13" s="260">
        <f>[1]預算內選單資料來源!F13</f>
        <v/>
      </c>
      <c r="G13" s="260">
        <f>[1]預算內選單資料來源!G13</f>
        <v/>
      </c>
      <c r="H13" s="260">
        <f>[1]預算內選單資料來源!H13</f>
        <v/>
      </c>
      <c r="I13" s="260">
        <f>[1]預算內選單資料來源!I13</f>
        <v/>
      </c>
      <c r="J13" s="260">
        <f>[1]預算內選單資料來源!J13</f>
        <v/>
      </c>
      <c r="K13" s="260">
        <f>[1]預算內選單資料來源!K13</f>
        <v/>
      </c>
      <c r="L13" s="260">
        <f>[1]預算內選單資料來源!L13</f>
        <v/>
      </c>
    </row>
    <row r="14" ht="16.5" customHeight="1" s="124">
      <c r="A14" s="123">
        <f>[1]預算內選單資料來源!A14</f>
        <v/>
      </c>
      <c r="B14" s="260">
        <f>[1]預算內選單資料來源!B14</f>
        <v/>
      </c>
      <c r="C14" s="260">
        <f>[1]預算內選單資料來源!C14</f>
        <v/>
      </c>
      <c r="D14" s="260">
        <f>[1]預算內選單資料來源!D14</f>
        <v/>
      </c>
      <c r="E14" s="260">
        <f>[1]預算內選單資料來源!E14</f>
        <v/>
      </c>
      <c r="F14" s="260">
        <f>[1]預算內選單資料來源!F14</f>
        <v/>
      </c>
      <c r="G14" s="260">
        <f>[1]預算內選單資料來源!G14</f>
        <v/>
      </c>
      <c r="H14" s="260">
        <f>[1]預算內選單資料來源!H14</f>
        <v/>
      </c>
      <c r="I14" s="260">
        <f>[1]預算內選單資料來源!I14</f>
        <v/>
      </c>
      <c r="J14" s="260">
        <f>[1]預算內選單資料來源!J14</f>
        <v/>
      </c>
      <c r="K14" s="260">
        <f>[1]預算內選單資料來源!K14</f>
        <v/>
      </c>
      <c r="L14" s="260">
        <f>[1]預算內選單資料來源!L14</f>
        <v/>
      </c>
    </row>
    <row r="15" ht="33" customHeight="1" s="124">
      <c r="A15" s="123">
        <f>[1]預算內選單資料來源!A15</f>
        <v/>
      </c>
      <c r="B15" s="260">
        <f>[1]預算內選單資料來源!B15</f>
        <v/>
      </c>
      <c r="C15" s="260">
        <f>[1]預算內選單資料來源!C15</f>
        <v/>
      </c>
      <c r="D15" s="260">
        <f>[1]預算內選單資料來源!D15</f>
        <v/>
      </c>
      <c r="E15" s="260">
        <f>[1]預算內選單資料來源!E15</f>
        <v/>
      </c>
      <c r="F15" s="260">
        <f>[1]預算內選單資料來源!F15</f>
        <v/>
      </c>
      <c r="G15" s="260">
        <f>[1]預算內選單資料來源!G15</f>
        <v/>
      </c>
      <c r="H15" s="260">
        <f>[1]預算內選單資料來源!H15</f>
        <v/>
      </c>
      <c r="I15" s="260">
        <f>[1]預算內選單資料來源!I15</f>
        <v/>
      </c>
      <c r="J15" s="260">
        <f>[1]預算內選單資料來源!J15</f>
        <v/>
      </c>
      <c r="K15" s="260">
        <f>[1]預算內選單資料來源!K15</f>
        <v/>
      </c>
      <c r="L15" s="260">
        <f>[1]預算內選單資料來源!L15</f>
        <v/>
      </c>
    </row>
    <row r="16" ht="16.5" customHeight="1" s="124">
      <c r="A16" s="123">
        <f>[1]預算內選單資料來源!A16</f>
        <v/>
      </c>
      <c r="B16" s="260">
        <f>[1]預算內選單資料來源!B16</f>
        <v/>
      </c>
      <c r="C16" s="260">
        <f>[1]預算內選單資料來源!C16</f>
        <v/>
      </c>
      <c r="D16" s="260">
        <f>[1]預算內選單資料來源!D16</f>
        <v/>
      </c>
      <c r="E16" s="260">
        <f>[1]預算內選單資料來源!E16</f>
        <v/>
      </c>
      <c r="F16" s="260">
        <f>[1]預算內選單資料來源!F16</f>
        <v/>
      </c>
      <c r="G16" s="260">
        <f>[1]預算內選單資料來源!G16</f>
        <v/>
      </c>
      <c r="H16" s="260">
        <f>[1]預算內選單資料來源!H16</f>
        <v/>
      </c>
      <c r="I16" s="260">
        <f>[1]預算內選單資料來源!I16</f>
        <v/>
      </c>
      <c r="J16" s="260">
        <f>[1]預算內選單資料來源!J16</f>
        <v/>
      </c>
      <c r="K16" s="260">
        <f>[1]預算內選單資料來源!K16</f>
        <v/>
      </c>
      <c r="L16" s="260">
        <f>[1]預算內選單資料來源!L16</f>
        <v/>
      </c>
    </row>
    <row r="17" ht="16.5" customHeight="1" s="124">
      <c r="A17" s="123">
        <f>[1]預算內選單資料來源!A17</f>
        <v/>
      </c>
      <c r="B17" s="260">
        <f>[1]預算內選單資料來源!B17</f>
        <v/>
      </c>
      <c r="C17" s="260">
        <f>[1]預算內選單資料來源!C17</f>
        <v/>
      </c>
      <c r="D17" s="260">
        <f>[1]預算內選單資料來源!D17</f>
        <v/>
      </c>
      <c r="E17" s="260">
        <f>[1]預算內選單資料來源!E17</f>
        <v/>
      </c>
      <c r="F17" s="260">
        <f>[1]預算內選單資料來源!F17</f>
        <v/>
      </c>
      <c r="G17" s="260">
        <f>[1]預算內選單資料來源!G17</f>
        <v/>
      </c>
      <c r="H17" s="260">
        <f>[1]預算內選單資料來源!H17</f>
        <v/>
      </c>
      <c r="I17" s="260">
        <f>[1]預算內選單資料來源!I17</f>
        <v/>
      </c>
      <c r="J17" s="260">
        <f>[1]預算內選單資料來源!J17</f>
        <v/>
      </c>
      <c r="K17" s="260">
        <f>[1]預算內選單資料來源!K17</f>
        <v/>
      </c>
      <c r="L17" s="260">
        <f>[1]預算內選單資料來源!L17</f>
        <v/>
      </c>
    </row>
    <row r="18" ht="16.5" customHeight="1" s="124">
      <c r="A18" s="123">
        <f>[1]預算內選單資料來源!A18</f>
        <v/>
      </c>
      <c r="B18" s="260">
        <f>[1]預算內選單資料來源!B18</f>
        <v/>
      </c>
      <c r="C18" s="260">
        <f>[1]預算內選單資料來源!C18</f>
        <v/>
      </c>
      <c r="D18" s="260">
        <f>[1]預算內選單資料來源!D18</f>
        <v/>
      </c>
      <c r="E18" s="260">
        <f>[1]預算內選單資料來源!E18</f>
        <v/>
      </c>
      <c r="F18" s="260">
        <f>[1]預算內選單資料來源!F18</f>
        <v/>
      </c>
      <c r="G18" s="260">
        <f>[1]預算內選單資料來源!G18</f>
        <v/>
      </c>
      <c r="H18" s="260">
        <f>[1]預算內選單資料來源!H18</f>
        <v/>
      </c>
      <c r="I18" s="260">
        <f>[1]預算內選單資料來源!I18</f>
        <v/>
      </c>
      <c r="J18" s="260">
        <f>[1]預算內選單資料來源!J18</f>
        <v/>
      </c>
      <c r="K18" s="260">
        <f>[1]預算內選單資料來源!K18</f>
        <v/>
      </c>
      <c r="L18" s="260">
        <f>[1]預算內選單資料來源!L18</f>
        <v/>
      </c>
    </row>
    <row r="19" ht="33" customHeight="1" s="124">
      <c r="A19" s="123">
        <f>[1]預算內選單資料來源!A19</f>
        <v/>
      </c>
      <c r="B19" s="260">
        <f>[1]預算內選單資料來源!B19</f>
        <v/>
      </c>
      <c r="C19" s="260">
        <f>[1]預算內選單資料來源!C19</f>
        <v/>
      </c>
      <c r="D19" s="260">
        <f>[1]預算內選單資料來源!D19</f>
        <v/>
      </c>
      <c r="E19" s="260">
        <f>[1]預算內選單資料來源!E19</f>
        <v/>
      </c>
      <c r="F19" s="260">
        <f>[1]預算內選單資料來源!F19</f>
        <v/>
      </c>
      <c r="G19" s="260">
        <f>[1]預算內選單資料來源!G19</f>
        <v/>
      </c>
      <c r="H19" s="260">
        <f>[1]預算內選單資料來源!H19</f>
        <v/>
      </c>
      <c r="I19" s="260">
        <f>[1]預算內選單資料來源!I19</f>
        <v/>
      </c>
      <c r="J19" s="260">
        <f>[1]預算內選單資料來源!J19</f>
        <v/>
      </c>
      <c r="K19" s="260">
        <f>[1]預算內選單資料來源!K19</f>
        <v/>
      </c>
      <c r="L19" s="260">
        <f>[1]預算內選單資料來源!L19</f>
        <v/>
      </c>
    </row>
    <row r="20" ht="33" customHeight="1" s="124">
      <c r="A20" s="123">
        <f>[1]預算內選單資料來源!A20</f>
        <v/>
      </c>
      <c r="B20" s="260">
        <f>[1]預算內選單資料來源!B20</f>
        <v/>
      </c>
      <c r="C20" s="260">
        <f>[1]預算內選單資料來源!C20</f>
        <v/>
      </c>
      <c r="D20" s="260">
        <f>[1]預算內選單資料來源!D20</f>
        <v/>
      </c>
      <c r="E20" s="260">
        <f>[1]預算內選單資料來源!E20</f>
        <v/>
      </c>
      <c r="F20" s="260">
        <f>[1]預算內選單資料來源!F20</f>
        <v/>
      </c>
      <c r="G20" s="260">
        <f>[1]預算內選單資料來源!G20</f>
        <v/>
      </c>
      <c r="H20" s="260">
        <f>[1]預算內選單資料來源!H20</f>
        <v/>
      </c>
      <c r="I20" s="260">
        <f>[1]預算內選單資料來源!I20</f>
        <v/>
      </c>
      <c r="J20" s="260">
        <f>[1]預算內選單資料來源!J20</f>
        <v/>
      </c>
      <c r="K20" s="260">
        <f>[1]預算內選單資料來源!K20</f>
        <v/>
      </c>
      <c r="L20" s="260">
        <f>[1]預算內選單資料來源!L20</f>
        <v/>
      </c>
    </row>
    <row r="21" ht="16.5" customHeight="1" s="124">
      <c r="A21" s="123">
        <f>[1]預算內選單資料來源!A21</f>
        <v/>
      </c>
      <c r="B21" s="260">
        <f>[1]預算內選單資料來源!B21</f>
        <v/>
      </c>
      <c r="C21" s="260">
        <f>[1]預算內選單資料來源!C21</f>
        <v/>
      </c>
      <c r="D21" s="260">
        <f>[1]預算內選單資料來源!D21</f>
        <v/>
      </c>
      <c r="E21" s="260">
        <f>[1]預算內選單資料來源!E21</f>
        <v/>
      </c>
      <c r="F21" s="260">
        <f>[1]預算內選單資料來源!F21</f>
        <v/>
      </c>
      <c r="G21" s="260">
        <f>[1]預算內選單資料來源!G21</f>
        <v/>
      </c>
      <c r="H21" s="260">
        <f>[1]預算內選單資料來源!H21</f>
        <v/>
      </c>
      <c r="I21" s="260">
        <f>[1]預算內選單資料來源!I21</f>
        <v/>
      </c>
      <c r="J21" s="260">
        <f>[1]預算內選單資料來源!J21</f>
        <v/>
      </c>
      <c r="K21" s="260">
        <f>[1]預算內選單資料來源!K21</f>
        <v/>
      </c>
      <c r="L21" s="260">
        <f>[1]預算內選單資料來源!L21</f>
        <v/>
      </c>
    </row>
    <row r="22" ht="33" customHeight="1" s="124">
      <c r="A22" s="123">
        <f>[1]預算內選單資料來源!A22</f>
        <v/>
      </c>
      <c r="B22" s="260">
        <f>[1]預算內選單資料來源!B22</f>
        <v/>
      </c>
      <c r="C22" s="260">
        <f>[1]預算內選單資料來源!C22</f>
        <v/>
      </c>
      <c r="D22" s="260">
        <f>[1]預算內選單資料來源!D22</f>
        <v/>
      </c>
      <c r="E22" s="260">
        <f>[1]預算內選單資料來源!E22</f>
        <v/>
      </c>
      <c r="F22" s="260">
        <f>[1]預算內選單資料來源!F22</f>
        <v/>
      </c>
      <c r="G22" s="260">
        <f>[1]預算內選單資料來源!G22</f>
        <v/>
      </c>
      <c r="H22" s="260">
        <f>[1]預算內選單資料來源!H22</f>
        <v/>
      </c>
      <c r="I22" s="260">
        <f>[1]預算內選單資料來源!I22</f>
        <v/>
      </c>
      <c r="J22" s="260">
        <f>[1]預算內選單資料來源!J22</f>
        <v/>
      </c>
      <c r="K22" s="260">
        <f>[1]預算內選單資料來源!K22</f>
        <v/>
      </c>
      <c r="L22" s="260">
        <f>[1]預算內選單資料來源!L22</f>
        <v/>
      </c>
    </row>
    <row r="23" ht="16.5" customHeight="1" s="124">
      <c r="A23" s="123">
        <f>[1]預算內選單資料來源!A23</f>
        <v/>
      </c>
      <c r="B23" s="260">
        <f>[1]預算內選單資料來源!B23</f>
        <v/>
      </c>
      <c r="C23" s="260">
        <f>[1]預算內選單資料來源!C23</f>
        <v/>
      </c>
      <c r="D23" s="260">
        <f>[1]預算內選單資料來源!D23</f>
        <v/>
      </c>
      <c r="E23" s="260">
        <f>[1]預算內選單資料來源!E23</f>
        <v/>
      </c>
      <c r="F23" s="260">
        <f>[1]預算內選單資料來源!F23</f>
        <v/>
      </c>
      <c r="G23" s="260">
        <f>[1]預算內選單資料來源!G23</f>
        <v/>
      </c>
      <c r="H23" s="260">
        <f>[1]預算內選單資料來源!H23</f>
        <v/>
      </c>
      <c r="I23" s="260">
        <f>[1]預算內選單資料來源!I23</f>
        <v/>
      </c>
      <c r="J23" s="260">
        <f>[1]預算內選單資料來源!J23</f>
        <v/>
      </c>
      <c r="K23" s="260">
        <f>[1]預算內選單資料來源!K23</f>
        <v/>
      </c>
      <c r="L23" s="260">
        <f>[1]預算內選單資料來源!L23</f>
        <v/>
      </c>
    </row>
    <row r="24" ht="16.5" customHeight="1" s="124">
      <c r="A24" s="123">
        <f>[1]預算內選單資料來源!A24</f>
        <v/>
      </c>
      <c r="B24" s="260">
        <f>[1]預算內選單資料來源!B24</f>
        <v/>
      </c>
      <c r="C24" s="260">
        <f>[1]預算內選單資料來源!C24</f>
        <v/>
      </c>
      <c r="D24" s="260">
        <f>[1]預算內選單資料來源!D24</f>
        <v/>
      </c>
      <c r="E24" s="260">
        <f>[1]預算內選單資料來源!E24</f>
        <v/>
      </c>
      <c r="F24" s="260">
        <f>[1]預算內選單資料來源!F24</f>
        <v/>
      </c>
      <c r="G24" s="260">
        <f>[1]預算內選單資料來源!G24</f>
        <v/>
      </c>
      <c r="H24" s="260">
        <f>[1]預算內選單資料來源!H24</f>
        <v/>
      </c>
      <c r="I24" s="260">
        <f>[1]預算內選單資料來源!I24</f>
        <v/>
      </c>
      <c r="J24" s="260">
        <f>[1]預算內選單資料來源!J24</f>
        <v/>
      </c>
      <c r="K24" s="260">
        <f>[1]預算內選單資料來源!K24</f>
        <v/>
      </c>
      <c r="L24" s="260">
        <f>[1]預算內選單資料來源!L24</f>
        <v/>
      </c>
    </row>
    <row r="25" ht="16.5" customHeight="1" s="124">
      <c r="A25" s="123">
        <f>[1]預算內選單資料來源!A25</f>
        <v/>
      </c>
      <c r="B25" s="260">
        <f>[1]預算內選單資料來源!B25</f>
        <v/>
      </c>
      <c r="C25" s="260">
        <f>[1]預算內選單資料來源!C25</f>
        <v/>
      </c>
      <c r="D25" s="260">
        <f>[1]預算內選單資料來源!D25</f>
        <v/>
      </c>
      <c r="E25" s="260">
        <f>[1]預算內選單資料來源!E25</f>
        <v/>
      </c>
      <c r="F25" s="260">
        <f>[1]預算內選單資料來源!F25</f>
        <v/>
      </c>
      <c r="G25" s="260">
        <f>[1]預算內選單資料來源!G25</f>
        <v/>
      </c>
      <c r="H25" s="260">
        <f>[1]預算內選單資料來源!H25</f>
        <v/>
      </c>
      <c r="I25" s="260">
        <f>[1]預算內選單資料來源!I25</f>
        <v/>
      </c>
      <c r="J25" s="260">
        <f>[1]預算內選單資料來源!J25</f>
        <v/>
      </c>
      <c r="K25" s="260">
        <f>[1]預算內選單資料來源!K25</f>
        <v/>
      </c>
      <c r="L25" s="260">
        <f>[1]預算內選單資料來源!L25</f>
        <v/>
      </c>
    </row>
    <row r="26" ht="16.5" customHeight="1" s="124">
      <c r="A26" s="123">
        <f>[1]預算內選單資料來源!A26</f>
        <v/>
      </c>
      <c r="B26" s="260">
        <f>[1]預算內選單資料來源!B26</f>
        <v/>
      </c>
      <c r="C26" s="260">
        <f>[1]預算內選單資料來源!C26</f>
        <v/>
      </c>
      <c r="D26" s="260">
        <f>[1]預算內選單資料來源!D26</f>
        <v/>
      </c>
      <c r="E26" s="260">
        <f>[1]預算內選單資料來源!E26</f>
        <v/>
      </c>
      <c r="F26" s="260">
        <f>[1]預算內選單資料來源!F26</f>
        <v/>
      </c>
      <c r="G26" s="260">
        <f>[1]預算內選單資料來源!G26</f>
        <v/>
      </c>
      <c r="H26" s="260">
        <f>[1]預算內選單資料來源!H26</f>
        <v/>
      </c>
      <c r="I26" s="260">
        <f>[1]預算內選單資料來源!I26</f>
        <v/>
      </c>
      <c r="J26" s="260">
        <f>[1]預算內選單資料來源!J26</f>
        <v/>
      </c>
      <c r="K26" s="260">
        <f>[1]預算內選單資料來源!K26</f>
        <v/>
      </c>
      <c r="L26" s="260">
        <f>[1]預算內選單資料來源!L26</f>
        <v/>
      </c>
    </row>
    <row r="27" ht="16.5" customHeight="1" s="124">
      <c r="A27" s="123">
        <f>[1]預算內選單資料來源!A27</f>
        <v/>
      </c>
      <c r="B27" s="260">
        <f>[1]預算內選單資料來源!B27</f>
        <v/>
      </c>
      <c r="C27" s="260">
        <f>[1]預算內選單資料來源!C27</f>
        <v/>
      </c>
      <c r="D27" s="260">
        <f>[1]預算內選單資料來源!D27</f>
        <v/>
      </c>
      <c r="E27" s="260">
        <f>[1]預算內選單資料來源!E27</f>
        <v/>
      </c>
      <c r="F27" s="260">
        <f>[1]預算內選單資料來源!F27</f>
        <v/>
      </c>
      <c r="G27" s="260">
        <f>[1]預算內選單資料來源!G27</f>
        <v/>
      </c>
      <c r="H27" s="260">
        <f>[1]預算內選單資料來源!H27</f>
        <v/>
      </c>
      <c r="I27" s="260">
        <f>[1]預算內選單資料來源!I27</f>
        <v/>
      </c>
      <c r="J27" s="260">
        <f>[1]預算內選單資料來源!J27</f>
        <v/>
      </c>
      <c r="K27" s="260">
        <f>[1]預算內選單資料來源!K27</f>
        <v/>
      </c>
      <c r="L27" s="260">
        <f>[1]預算內選單資料來源!L27</f>
        <v/>
      </c>
    </row>
    <row r="28" ht="16.5" customHeight="1" s="124">
      <c r="A28" s="123">
        <f>[1]預算內選單資料來源!A28</f>
        <v/>
      </c>
      <c r="B28" s="260">
        <f>[1]預算內選單資料來源!B28</f>
        <v/>
      </c>
      <c r="C28" s="260">
        <f>[1]預算內選單資料來源!C28</f>
        <v/>
      </c>
      <c r="D28" s="260">
        <f>[1]預算內選單資料來源!D28</f>
        <v/>
      </c>
      <c r="E28" s="260">
        <f>[1]預算內選單資料來源!E28</f>
        <v/>
      </c>
      <c r="F28" s="260">
        <f>[1]預算內選單資料來源!F28</f>
        <v/>
      </c>
      <c r="G28" s="260">
        <f>[1]預算內選單資料來源!G28</f>
        <v/>
      </c>
      <c r="H28" s="260">
        <f>[1]預算內選單資料來源!H28</f>
        <v/>
      </c>
      <c r="I28" s="260">
        <f>[1]預算內選單資料來源!I28</f>
        <v/>
      </c>
      <c r="J28" s="260">
        <f>[1]預算內選單資料來源!J28</f>
        <v/>
      </c>
      <c r="K28" s="260">
        <f>[1]預算內選單資料來源!K28</f>
        <v/>
      </c>
      <c r="L28" s="260">
        <f>[1]預算內選單資料來源!L28</f>
        <v/>
      </c>
    </row>
    <row r="29" ht="16.5" customHeight="1" s="124">
      <c r="A29" s="123">
        <f>[1]預算內選單資料來源!A29</f>
        <v/>
      </c>
      <c r="B29" s="260">
        <f>[1]預算內選單資料來源!B29</f>
        <v/>
      </c>
      <c r="C29" s="260">
        <f>[1]預算內選單資料來源!C29</f>
        <v/>
      </c>
      <c r="D29" s="260">
        <f>[1]預算內選單資料來源!D29</f>
        <v/>
      </c>
      <c r="E29" s="260">
        <f>[1]預算內選單資料來源!E29</f>
        <v/>
      </c>
      <c r="F29" s="260">
        <f>[1]預算內選單資料來源!F29</f>
        <v/>
      </c>
      <c r="G29" s="260">
        <f>[1]預算內選單資料來源!G29</f>
        <v/>
      </c>
      <c r="H29" s="260">
        <f>[1]預算內選單資料來源!H29</f>
        <v/>
      </c>
      <c r="I29" s="260">
        <f>[1]預算內選單資料來源!I29</f>
        <v/>
      </c>
      <c r="J29" s="260">
        <f>[1]預算內選單資料來源!J29</f>
        <v/>
      </c>
      <c r="K29" s="260">
        <f>[1]預算內選單資料來源!K29</f>
        <v/>
      </c>
      <c r="L29" s="260">
        <f>[1]預算內選單資料來源!L29</f>
        <v/>
      </c>
    </row>
    <row r="30" ht="16.5" customHeight="1" s="124">
      <c r="A30" s="123">
        <f>[1]預算內選單資料來源!A30</f>
        <v/>
      </c>
      <c r="B30" s="260">
        <f>[1]預算內選單資料來源!B30</f>
        <v/>
      </c>
      <c r="C30" s="260">
        <f>[1]預算內選單資料來源!C30</f>
        <v/>
      </c>
      <c r="D30" s="260">
        <f>[1]預算內選單資料來源!D30</f>
        <v/>
      </c>
      <c r="E30" s="260">
        <f>[1]預算內選單資料來源!E30</f>
        <v/>
      </c>
      <c r="F30" s="260">
        <f>[1]預算內選單資料來源!F30</f>
        <v/>
      </c>
      <c r="G30" s="260">
        <f>[1]預算內選單資料來源!G30</f>
        <v/>
      </c>
      <c r="H30" s="260">
        <f>[1]預算內選單資料來源!H30</f>
        <v/>
      </c>
      <c r="I30" s="260">
        <f>[1]預算內選單資料來源!I30</f>
        <v/>
      </c>
      <c r="J30" s="260">
        <f>[1]預算內選單資料來源!J30</f>
        <v/>
      </c>
      <c r="K30" s="260">
        <f>[1]預算內選單資料來源!K30</f>
        <v/>
      </c>
      <c r="L30" s="260">
        <f>[1]預算內選單資料來源!L30</f>
        <v/>
      </c>
    </row>
    <row r="31" ht="16.5" customHeight="1" s="124">
      <c r="A31" s="123">
        <f>[1]預算內選單資料來源!A31</f>
        <v/>
      </c>
      <c r="B31" s="260">
        <f>[1]預算內選單資料來源!B31</f>
        <v/>
      </c>
      <c r="C31" s="260">
        <f>[1]預算內選單資料來源!C31</f>
        <v/>
      </c>
      <c r="D31" s="260">
        <f>[1]預算內選單資料來源!D31</f>
        <v/>
      </c>
      <c r="E31" s="260">
        <f>[1]預算內選單資料來源!E31</f>
        <v/>
      </c>
      <c r="F31" s="260">
        <f>[1]預算內選單資料來源!F31</f>
        <v/>
      </c>
      <c r="G31" s="260">
        <f>[1]預算內選單資料來源!G31</f>
        <v/>
      </c>
      <c r="H31" s="260">
        <f>[1]預算內選單資料來源!H31</f>
        <v/>
      </c>
      <c r="I31" s="260">
        <f>[1]預算內選單資料來源!I31</f>
        <v/>
      </c>
      <c r="J31" s="260">
        <f>[1]預算內選單資料來源!J31</f>
        <v/>
      </c>
      <c r="K31" s="260">
        <f>[1]預算內選單資料來源!K31</f>
        <v/>
      </c>
      <c r="L31" s="260">
        <f>[1]預算內選單資料來源!L31</f>
        <v/>
      </c>
    </row>
    <row r="32" ht="16.5" customHeight="1" s="124">
      <c r="A32" s="123">
        <f>[1]預算內選單資料來源!A32</f>
        <v/>
      </c>
      <c r="B32" s="260">
        <f>[1]預算內選單資料來源!B32</f>
        <v/>
      </c>
      <c r="C32" s="260">
        <f>[1]預算內選單資料來源!C32</f>
        <v/>
      </c>
      <c r="D32" s="260">
        <f>[1]預算內選單資料來源!D32</f>
        <v/>
      </c>
      <c r="E32" s="260">
        <f>[1]預算內選單資料來源!E32</f>
        <v/>
      </c>
      <c r="F32" s="260">
        <f>[1]預算內選單資料來源!F32</f>
        <v/>
      </c>
      <c r="G32" s="260">
        <f>[1]預算內選單資料來源!G32</f>
        <v/>
      </c>
      <c r="H32" s="260">
        <f>[1]預算內選單資料來源!H32</f>
        <v/>
      </c>
      <c r="I32" s="260">
        <f>[1]預算內選單資料來源!I32</f>
        <v/>
      </c>
      <c r="J32" s="260">
        <f>[1]預算內選單資料來源!J32</f>
        <v/>
      </c>
      <c r="K32" s="260">
        <f>[1]預算內選單資料來源!K32</f>
        <v/>
      </c>
      <c r="L32" s="260">
        <f>[1]預算內選單資料來源!L32</f>
        <v/>
      </c>
    </row>
    <row r="33" ht="16.5" customHeight="1" s="124">
      <c r="A33" s="123">
        <f>[1]預算內選單資料來源!A33</f>
        <v/>
      </c>
      <c r="B33" s="260">
        <f>[1]預算內選單資料來源!B33</f>
        <v/>
      </c>
      <c r="C33" s="260">
        <f>[1]預算內選單資料來源!C33</f>
        <v/>
      </c>
      <c r="D33" s="260">
        <f>[1]預算內選單資料來源!D33</f>
        <v/>
      </c>
      <c r="E33" s="260">
        <f>[1]預算內選單資料來源!E33</f>
        <v/>
      </c>
      <c r="F33" s="260">
        <f>[1]預算內選單資料來源!F33</f>
        <v/>
      </c>
      <c r="G33" s="260">
        <f>[1]預算內選單資料來源!G33</f>
        <v/>
      </c>
      <c r="H33" s="260">
        <f>[1]預算內選單資料來源!H33</f>
        <v/>
      </c>
      <c r="I33" s="260">
        <f>[1]預算內選單資料來源!I33</f>
        <v/>
      </c>
      <c r="J33" s="260">
        <f>[1]預算內選單資料來源!J33</f>
        <v/>
      </c>
      <c r="K33" s="260">
        <f>[1]預算內選單資料來源!K33</f>
        <v/>
      </c>
      <c r="L33" s="260">
        <f>[1]預算內選單資料來源!L33</f>
        <v/>
      </c>
    </row>
    <row r="34" ht="16.5" customHeight="1" s="124">
      <c r="A34" s="123">
        <f>[1]預算內選單資料來源!A34</f>
        <v/>
      </c>
      <c r="B34" s="260">
        <f>[1]預算內選單資料來源!B34</f>
        <v/>
      </c>
      <c r="C34" s="260">
        <f>[1]預算內選單資料來源!C34</f>
        <v/>
      </c>
      <c r="D34" s="260">
        <f>[1]預算內選單資料來源!D34</f>
        <v/>
      </c>
      <c r="E34" s="260">
        <f>[1]預算內選單資料來源!E34</f>
        <v/>
      </c>
      <c r="F34" s="260">
        <f>[1]預算內選單資料來源!F34</f>
        <v/>
      </c>
      <c r="G34" s="260">
        <f>[1]預算內選單資料來源!G34</f>
        <v/>
      </c>
      <c r="H34" s="260">
        <f>[1]預算內選單資料來源!H34</f>
        <v/>
      </c>
      <c r="I34" s="260">
        <f>[1]預算內選單資料來源!I34</f>
        <v/>
      </c>
      <c r="J34" s="260">
        <f>[1]預算內選單資料來源!J34</f>
        <v/>
      </c>
      <c r="K34" s="260">
        <f>[1]預算內選單資料來源!K34</f>
        <v/>
      </c>
      <c r="L34" s="260">
        <f>[1]預算內選單資料來源!L34</f>
        <v/>
      </c>
    </row>
    <row r="35" ht="16.5" customHeight="1" s="124">
      <c r="A35" s="123">
        <f>[1]預算內選單資料來源!A35</f>
        <v/>
      </c>
      <c r="B35" s="260">
        <f>[1]預算內選單資料來源!B35</f>
        <v/>
      </c>
      <c r="C35" s="260">
        <f>[1]預算內選單資料來源!C35</f>
        <v/>
      </c>
      <c r="D35" s="260">
        <f>[1]預算內選單資料來源!D35</f>
        <v/>
      </c>
      <c r="E35" s="260">
        <f>[1]預算內選單資料來源!E35</f>
        <v/>
      </c>
      <c r="F35" s="260">
        <f>[1]預算內選單資料來源!F35</f>
        <v/>
      </c>
      <c r="G35" s="260">
        <f>[1]預算內選單資料來源!G35</f>
        <v/>
      </c>
      <c r="H35" s="260">
        <f>[1]預算內選單資料來源!H35</f>
        <v/>
      </c>
      <c r="I35" s="260">
        <f>[1]預算內選單資料來源!I35</f>
        <v/>
      </c>
      <c r="J35" s="260">
        <f>[1]預算內選單資料來源!J35</f>
        <v/>
      </c>
      <c r="K35" s="260">
        <f>[1]預算內選單資料來源!K35</f>
        <v/>
      </c>
      <c r="L35" s="260">
        <f>[1]預算內選單資料來源!L35</f>
        <v/>
      </c>
    </row>
    <row r="36" ht="16.5" customHeight="1" s="124">
      <c r="A36" s="123">
        <f>[1]預算內選單資料來源!A36</f>
        <v/>
      </c>
      <c r="B36" s="260">
        <f>[1]預算內選單資料來源!B36</f>
        <v/>
      </c>
      <c r="C36" s="260">
        <f>[1]預算內選單資料來源!C36</f>
        <v/>
      </c>
      <c r="D36" s="260">
        <f>[1]預算內選單資料來源!D36</f>
        <v/>
      </c>
      <c r="E36" s="260">
        <f>[1]預算內選單資料來源!E36</f>
        <v/>
      </c>
      <c r="F36" s="260">
        <f>[1]預算內選單資料來源!F36</f>
        <v/>
      </c>
      <c r="G36" s="260">
        <f>[1]預算內選單資料來源!G36</f>
        <v/>
      </c>
      <c r="H36" s="260">
        <f>[1]預算內選單資料來源!H36</f>
        <v/>
      </c>
      <c r="I36" s="260">
        <f>[1]預算內選單資料來源!I36</f>
        <v/>
      </c>
      <c r="J36" s="260">
        <f>[1]預算內選單資料來源!J36</f>
        <v/>
      </c>
      <c r="K36" s="260">
        <f>[1]預算內選單資料來源!K36</f>
        <v/>
      </c>
      <c r="L36" s="260">
        <f>[1]預算內選單資料來源!L36</f>
        <v/>
      </c>
    </row>
    <row r="37" ht="16.5" customHeight="1" s="124">
      <c r="A37" s="123">
        <f>[1]預算內選單資料來源!A37</f>
        <v/>
      </c>
      <c r="B37" s="260">
        <f>[1]預算內選單資料來源!B37</f>
        <v/>
      </c>
      <c r="C37" s="260">
        <f>[1]預算內選單資料來源!C37</f>
        <v/>
      </c>
      <c r="D37" s="260">
        <f>[1]預算內選單資料來源!D37</f>
        <v/>
      </c>
      <c r="E37" s="260">
        <f>[1]預算內選單資料來源!E37</f>
        <v/>
      </c>
      <c r="F37" s="260">
        <f>[1]預算內選單資料來源!F37</f>
        <v/>
      </c>
      <c r="G37" s="260">
        <f>[1]預算內選單資料來源!G37</f>
        <v/>
      </c>
      <c r="H37" s="260">
        <f>[1]預算內選單資料來源!H37</f>
        <v/>
      </c>
      <c r="I37" s="260">
        <f>[1]預算內選單資料來源!I37</f>
        <v/>
      </c>
      <c r="J37" s="260">
        <f>[1]預算內選單資料來源!J37</f>
        <v/>
      </c>
      <c r="K37" s="260">
        <f>[1]預算內選單資料來源!K37</f>
        <v/>
      </c>
      <c r="L37" s="260">
        <f>[1]預算內選單資料來源!L37</f>
        <v/>
      </c>
    </row>
    <row r="38" ht="16.5" customHeight="1" s="124">
      <c r="A38" s="123">
        <f>[1]預算內選單資料來源!A38</f>
        <v/>
      </c>
      <c r="B38" s="260">
        <f>[1]預算內選單資料來源!B38</f>
        <v/>
      </c>
      <c r="C38" s="260">
        <f>[1]預算內選單資料來源!C38</f>
        <v/>
      </c>
      <c r="D38" s="260">
        <f>[1]預算內選單資料來源!D38</f>
        <v/>
      </c>
      <c r="E38" s="260">
        <f>[1]預算內選單資料來源!E38</f>
        <v/>
      </c>
      <c r="F38" s="260">
        <f>[1]預算內選單資料來源!F38</f>
        <v/>
      </c>
      <c r="G38" s="260">
        <f>[1]預算內選單資料來源!G38</f>
        <v/>
      </c>
      <c r="H38" s="260">
        <f>[1]預算內選單資料來源!H38</f>
        <v/>
      </c>
      <c r="I38" s="260">
        <f>[1]預算內選單資料來源!I38</f>
        <v/>
      </c>
      <c r="J38" s="260">
        <f>[1]預算內選單資料來源!J38</f>
        <v/>
      </c>
      <c r="K38" s="260">
        <f>[1]預算內選單資料來源!K38</f>
        <v/>
      </c>
      <c r="L38" s="260">
        <f>[1]預算內選單資料來源!L38</f>
        <v/>
      </c>
    </row>
    <row r="39" ht="16.5" customHeight="1" s="124">
      <c r="A39" s="123">
        <f>[1]預算內選單資料來源!A39</f>
        <v/>
      </c>
      <c r="B39" s="260">
        <f>[1]預算內選單資料來源!B39</f>
        <v/>
      </c>
      <c r="C39" s="260">
        <f>[1]預算內選單資料來源!C39</f>
        <v/>
      </c>
      <c r="D39" s="260">
        <f>[1]預算內選單資料來源!D39</f>
        <v/>
      </c>
      <c r="E39" s="260">
        <f>[1]預算內選單資料來源!E39</f>
        <v/>
      </c>
      <c r="F39" s="260">
        <f>[1]預算內選單資料來源!F39</f>
        <v/>
      </c>
      <c r="G39" s="260">
        <f>[1]預算內選單資料來源!G39</f>
        <v/>
      </c>
      <c r="H39" s="260">
        <f>[1]預算內選單資料來源!H39</f>
        <v/>
      </c>
      <c r="I39" s="260">
        <f>[1]預算內選單資料來源!I39</f>
        <v/>
      </c>
      <c r="J39" s="260">
        <f>[1]預算內選單資料來源!J39</f>
        <v/>
      </c>
      <c r="K39" s="260">
        <f>[1]預算內選單資料來源!K39</f>
        <v/>
      </c>
      <c r="L39" s="260">
        <f>[1]預算內選單資料來源!L39</f>
        <v/>
      </c>
    </row>
    <row r="40" ht="16.5" customHeight="1" s="124">
      <c r="A40" s="123">
        <f>[1]預算內選單資料來源!A40</f>
        <v/>
      </c>
      <c r="B40" s="260">
        <f>[1]預算內選單資料來源!B40</f>
        <v/>
      </c>
      <c r="C40" s="260">
        <f>[1]預算內選單資料來源!C40</f>
        <v/>
      </c>
      <c r="D40" s="260">
        <f>[1]預算內選單資料來源!D40</f>
        <v/>
      </c>
      <c r="E40" s="260">
        <f>[1]預算內選單資料來源!E40</f>
        <v/>
      </c>
      <c r="F40" s="260">
        <f>[1]預算內選單資料來源!F40</f>
        <v/>
      </c>
      <c r="G40" s="260">
        <f>[1]預算內選單資料來源!G40</f>
        <v/>
      </c>
      <c r="H40" s="260">
        <f>[1]預算內選單資料來源!H40</f>
        <v/>
      </c>
      <c r="I40" s="260">
        <f>[1]預算內選單資料來源!I40</f>
        <v/>
      </c>
      <c r="J40" s="260">
        <f>[1]預算內選單資料來源!J40</f>
        <v/>
      </c>
      <c r="K40" s="260">
        <f>[1]預算內選單資料來源!K40</f>
        <v/>
      </c>
      <c r="L40" s="260">
        <f>[1]預算內選單資料來源!L40</f>
        <v/>
      </c>
    </row>
    <row r="41" ht="16.5" customHeight="1" s="124">
      <c r="A41" s="123">
        <f>[1]預算內選單資料來源!A41</f>
        <v/>
      </c>
      <c r="B41" s="260">
        <f>[1]預算內選單資料來源!B41</f>
        <v/>
      </c>
      <c r="C41" s="260">
        <f>[1]預算內選單資料來源!C41</f>
        <v/>
      </c>
      <c r="D41" s="260">
        <f>[1]預算內選單資料來源!D41</f>
        <v/>
      </c>
      <c r="E41" s="260">
        <f>[1]預算內選單資料來源!E41</f>
        <v/>
      </c>
      <c r="F41" s="260">
        <f>[1]預算內選單資料來源!F41</f>
        <v/>
      </c>
      <c r="G41" s="260">
        <f>[1]預算內選單資料來源!G41</f>
        <v/>
      </c>
      <c r="H41" s="260">
        <f>[1]預算內選單資料來源!H41</f>
        <v/>
      </c>
      <c r="I41" s="260">
        <f>[1]預算內選單資料來源!I41</f>
        <v/>
      </c>
      <c r="J41" s="260">
        <f>[1]預算內選單資料來源!J41</f>
        <v/>
      </c>
      <c r="K41" s="260">
        <f>[1]預算內選單資料來源!K41</f>
        <v/>
      </c>
      <c r="L41" s="260">
        <f>[1]預算內選單資料來源!L41</f>
        <v/>
      </c>
    </row>
    <row r="42" ht="16.5" customHeight="1" s="124">
      <c r="A42" s="123">
        <f>[1]預算內選單資料來源!A42</f>
        <v/>
      </c>
      <c r="B42" s="260">
        <f>[1]預算內選單資料來源!B42</f>
        <v/>
      </c>
      <c r="C42" s="260">
        <f>[1]預算內選單資料來源!C42</f>
        <v/>
      </c>
      <c r="D42" s="260">
        <f>[1]預算內選單資料來源!D42</f>
        <v/>
      </c>
      <c r="E42" s="260">
        <f>[1]預算內選單資料來源!E42</f>
        <v/>
      </c>
      <c r="F42" s="260">
        <f>[1]預算內選單資料來源!F42</f>
        <v/>
      </c>
      <c r="G42" s="260">
        <f>[1]預算內選單資料來源!G42</f>
        <v/>
      </c>
      <c r="H42" s="260">
        <f>[1]預算內選單資料來源!H42</f>
        <v/>
      </c>
      <c r="I42" s="260">
        <f>[1]預算內選單資料來源!I42</f>
        <v/>
      </c>
      <c r="J42" s="260">
        <f>[1]預算內選單資料來源!J42</f>
        <v/>
      </c>
      <c r="K42" s="260">
        <f>[1]預算內選單資料來源!K42</f>
        <v/>
      </c>
      <c r="L42" s="260">
        <f>[1]預算內選單資料來源!L42</f>
        <v/>
      </c>
    </row>
    <row r="43" ht="16.5" customHeight="1" s="124">
      <c r="A43" s="123">
        <f>[1]預算內選單資料來源!A43</f>
        <v/>
      </c>
      <c r="B43" s="260">
        <f>[1]預算內選單資料來源!B43</f>
        <v/>
      </c>
      <c r="C43" s="260">
        <f>[1]預算內選單資料來源!C43</f>
        <v/>
      </c>
      <c r="D43" s="260">
        <f>[1]預算內選單資料來源!D43</f>
        <v/>
      </c>
      <c r="E43" s="260">
        <f>[1]預算內選單資料來源!E43</f>
        <v/>
      </c>
      <c r="F43" s="260">
        <f>[1]預算內選單資料來源!F43</f>
        <v/>
      </c>
      <c r="G43" s="260">
        <f>[1]預算內選單資料來源!G43</f>
        <v/>
      </c>
      <c r="H43" s="260">
        <f>[1]預算內選單資料來源!H43</f>
        <v/>
      </c>
      <c r="I43" s="260">
        <f>[1]預算內選單資料來源!I43</f>
        <v/>
      </c>
      <c r="J43" s="260">
        <f>[1]預算內選單資料來源!J43</f>
        <v/>
      </c>
      <c r="K43" s="260">
        <f>[1]預算內選單資料來源!K43</f>
        <v/>
      </c>
      <c r="L43" s="260">
        <f>[1]預算內選單資料來源!L43</f>
        <v/>
      </c>
    </row>
    <row r="44" ht="16.5" customHeight="1" s="124">
      <c r="A44" s="123">
        <f>[1]預算內選單資料來源!A44</f>
        <v/>
      </c>
      <c r="B44" s="260">
        <f>[1]預算內選單資料來源!B44</f>
        <v/>
      </c>
      <c r="C44" s="260">
        <f>[1]預算內選單資料來源!C44</f>
        <v/>
      </c>
      <c r="D44" s="260">
        <f>[1]預算內選單資料來源!D44</f>
        <v/>
      </c>
      <c r="E44" s="260">
        <f>[1]預算內選單資料來源!E44</f>
        <v/>
      </c>
      <c r="F44" s="260">
        <f>[1]預算內選單資料來源!F44</f>
        <v/>
      </c>
      <c r="G44" s="260">
        <f>[1]預算內選單資料來源!G44</f>
        <v/>
      </c>
      <c r="H44" s="260">
        <f>[1]預算內選單資料來源!H44</f>
        <v/>
      </c>
      <c r="I44" s="260">
        <f>[1]預算內選單資料來源!I44</f>
        <v/>
      </c>
      <c r="J44" s="260">
        <f>[1]預算內選單資料來源!J44</f>
        <v/>
      </c>
      <c r="K44" s="260">
        <f>[1]預算內選單資料來源!K44</f>
        <v/>
      </c>
      <c r="L44" s="260">
        <f>[1]預算內選單資料來源!L44</f>
        <v/>
      </c>
    </row>
    <row r="45" ht="16.5" customHeight="1" s="124">
      <c r="A45" s="123">
        <f>[1]預算內選單資料來源!A45</f>
        <v/>
      </c>
      <c r="B45" s="260">
        <f>[1]預算內選單資料來源!B45</f>
        <v/>
      </c>
      <c r="C45" s="260">
        <f>[1]預算內選單資料來源!C45</f>
        <v/>
      </c>
      <c r="D45" s="260">
        <f>[1]預算內選單資料來源!D45</f>
        <v/>
      </c>
      <c r="E45" s="260">
        <f>[1]預算內選單資料來源!E45</f>
        <v/>
      </c>
      <c r="F45" s="260">
        <f>[1]預算內選單資料來源!F45</f>
        <v/>
      </c>
      <c r="G45" s="260">
        <f>[1]預算內選單資料來源!G45</f>
        <v/>
      </c>
      <c r="H45" s="260">
        <f>[1]預算內選單資料來源!H45</f>
        <v/>
      </c>
      <c r="I45" s="260">
        <f>[1]預算內選單資料來源!I45</f>
        <v/>
      </c>
      <c r="J45" s="260">
        <f>[1]預算內選單資料來源!J45</f>
        <v/>
      </c>
      <c r="K45" s="260">
        <f>[1]預算內選單資料來源!K45</f>
        <v/>
      </c>
      <c r="L45" s="260">
        <f>[1]預算內選單資料來源!L45</f>
        <v/>
      </c>
    </row>
    <row r="46" ht="16.5" customHeight="1" s="124">
      <c r="A46" s="123">
        <f>[1]預算內選單資料來源!A46</f>
        <v/>
      </c>
      <c r="B46" s="260">
        <f>[1]預算內選單資料來源!B46</f>
        <v/>
      </c>
      <c r="C46" s="260">
        <f>[1]預算內選單資料來源!C46</f>
        <v/>
      </c>
      <c r="D46" s="260">
        <f>[1]預算內選單資料來源!D46</f>
        <v/>
      </c>
      <c r="E46" s="260">
        <f>[1]預算內選單資料來源!E46</f>
        <v/>
      </c>
      <c r="F46" s="260">
        <f>[1]預算內選單資料來源!F46</f>
        <v/>
      </c>
      <c r="G46" s="260">
        <f>[1]預算內選單資料來源!G46</f>
        <v/>
      </c>
      <c r="H46" s="260">
        <f>[1]預算內選單資料來源!H46</f>
        <v/>
      </c>
      <c r="I46" s="260">
        <f>[1]預算內選單資料來源!I46</f>
        <v/>
      </c>
      <c r="J46" s="260">
        <f>[1]預算內選單資料來源!J46</f>
        <v/>
      </c>
      <c r="K46" s="260">
        <f>[1]預算內選單資料來源!K46</f>
        <v/>
      </c>
      <c r="L46" s="260">
        <f>[1]預算內選單資料來源!L46</f>
        <v/>
      </c>
    </row>
    <row r="47" ht="16.5" customHeight="1" s="124">
      <c r="A47" s="123">
        <f>[1]預算內選單資料來源!A47</f>
        <v/>
      </c>
      <c r="B47" s="260">
        <f>[1]預算內選單資料來源!B47</f>
        <v/>
      </c>
      <c r="C47" s="260">
        <f>[1]預算內選單資料來源!C47</f>
        <v/>
      </c>
      <c r="D47" s="260">
        <f>[1]預算內選單資料來源!D47</f>
        <v/>
      </c>
      <c r="E47" s="260">
        <f>[1]預算內選單資料來源!E47</f>
        <v/>
      </c>
      <c r="F47" s="260">
        <f>[1]預算內選單資料來源!F47</f>
        <v/>
      </c>
      <c r="G47" s="260">
        <f>[1]預算內選單資料來源!G47</f>
        <v/>
      </c>
      <c r="H47" s="260">
        <f>[1]預算內選單資料來源!H47</f>
        <v/>
      </c>
      <c r="I47" s="260">
        <f>[1]預算內選單資料來源!I47</f>
        <v/>
      </c>
      <c r="J47" s="260">
        <f>[1]預算內選單資料來源!J47</f>
        <v/>
      </c>
      <c r="K47" s="260">
        <f>[1]預算內選單資料來源!K47</f>
        <v/>
      </c>
      <c r="L47" s="260">
        <f>[1]預算內選單資料來源!L47</f>
        <v/>
      </c>
    </row>
    <row r="48" ht="16.5" customHeight="1" s="124">
      <c r="A48" s="123">
        <f>[1]預算內選單資料來源!A48</f>
        <v/>
      </c>
      <c r="B48" s="260">
        <f>[1]預算內選單資料來源!B48</f>
        <v/>
      </c>
      <c r="C48" s="260">
        <f>[1]預算內選單資料來源!C48</f>
        <v/>
      </c>
      <c r="D48" s="260">
        <f>[1]預算內選單資料來源!D48</f>
        <v/>
      </c>
      <c r="E48" s="260">
        <f>[1]預算內選單資料來源!E48</f>
        <v/>
      </c>
      <c r="F48" s="260">
        <f>[1]預算內選單資料來源!F48</f>
        <v/>
      </c>
      <c r="G48" s="260">
        <f>[1]預算內選單資料來源!G48</f>
        <v/>
      </c>
      <c r="H48" s="260">
        <f>[1]預算內選單資料來源!H48</f>
        <v/>
      </c>
      <c r="I48" s="260">
        <f>[1]預算內選單資料來源!I48</f>
        <v/>
      </c>
      <c r="J48" s="260">
        <f>[1]預算內選單資料來源!J48</f>
        <v/>
      </c>
      <c r="K48" s="260">
        <f>[1]預算內選單資料來源!K48</f>
        <v/>
      </c>
      <c r="L48" s="260">
        <f>[1]預算內選單資料來源!L48</f>
        <v/>
      </c>
    </row>
    <row r="49" ht="16.5" customHeight="1" s="124">
      <c r="A49" s="123">
        <f>[1]預算內選單資料來源!A49</f>
        <v/>
      </c>
      <c r="B49" s="260">
        <f>[1]預算內選單資料來源!B49</f>
        <v/>
      </c>
      <c r="C49" s="260">
        <f>[1]預算內選單資料來源!C49</f>
        <v/>
      </c>
      <c r="D49" s="260">
        <f>[1]預算內選單資料來源!D49</f>
        <v/>
      </c>
      <c r="E49" s="260">
        <f>[1]預算內選單資料來源!E49</f>
        <v/>
      </c>
      <c r="F49" s="260">
        <f>[1]預算內選單資料來源!F49</f>
        <v/>
      </c>
      <c r="G49" s="260">
        <f>[1]預算內選單資料來源!G49</f>
        <v/>
      </c>
      <c r="H49" s="260">
        <f>[1]預算內選單資料來源!H49</f>
        <v/>
      </c>
      <c r="I49" s="260">
        <f>[1]預算內選單資料來源!I49</f>
        <v/>
      </c>
      <c r="J49" s="260">
        <f>[1]預算內選單資料來源!J49</f>
        <v/>
      </c>
      <c r="K49" s="260">
        <f>[1]預算內選單資料來源!K49</f>
        <v/>
      </c>
      <c r="L49" s="260">
        <f>[1]預算內選單資料來源!L49</f>
        <v/>
      </c>
    </row>
    <row r="50" ht="16.5" customHeight="1" s="124">
      <c r="A50" s="123">
        <f>[1]預算內選單資料來源!A50</f>
        <v/>
      </c>
      <c r="B50" s="260">
        <f>[1]預算內選單資料來源!B50</f>
        <v/>
      </c>
      <c r="C50" s="260">
        <f>[1]預算內選單資料來源!C50</f>
        <v/>
      </c>
      <c r="D50" s="260">
        <f>[1]預算內選單資料來源!D50</f>
        <v/>
      </c>
      <c r="E50" s="260">
        <f>[1]預算內選單資料來源!E50</f>
        <v/>
      </c>
      <c r="F50" s="260">
        <f>[1]預算內選單資料來源!F50</f>
        <v/>
      </c>
      <c r="G50" s="260">
        <f>[1]預算內選單資料來源!G50</f>
        <v/>
      </c>
      <c r="H50" s="260">
        <f>[1]預算內選單資料來源!H50</f>
        <v/>
      </c>
      <c r="I50" s="260">
        <f>[1]預算內選單資料來源!I50</f>
        <v/>
      </c>
      <c r="J50" s="260">
        <f>[1]預算內選單資料來源!J50</f>
        <v/>
      </c>
      <c r="K50" s="260">
        <f>[1]預算內選單資料來源!K50</f>
        <v/>
      </c>
      <c r="L50" s="260">
        <f>[1]預算內選單資料來源!L50</f>
        <v/>
      </c>
    </row>
    <row r="51" ht="16.5" customHeight="1" s="124">
      <c r="A51" s="123">
        <f>[1]預算內選單資料來源!A51</f>
        <v/>
      </c>
      <c r="B51" s="260">
        <f>[1]預算內選單資料來源!B51</f>
        <v/>
      </c>
      <c r="C51" s="260">
        <f>[1]預算內選單資料來源!C51</f>
        <v/>
      </c>
      <c r="D51" s="260">
        <f>[1]預算內選單資料來源!D51</f>
        <v/>
      </c>
      <c r="E51" s="260">
        <f>[1]預算內選單資料來源!E51</f>
        <v/>
      </c>
      <c r="F51" s="260">
        <f>[1]預算內選單資料來源!F51</f>
        <v/>
      </c>
      <c r="G51" s="260">
        <f>[1]預算內選單資料來源!G51</f>
        <v/>
      </c>
      <c r="H51" s="260">
        <f>[1]預算內選單資料來源!H51</f>
        <v/>
      </c>
      <c r="I51" s="260">
        <f>[1]預算內選單資料來源!I51</f>
        <v/>
      </c>
      <c r="J51" s="260">
        <f>[1]預算內選單資料來源!J51</f>
        <v/>
      </c>
      <c r="K51" s="260">
        <f>[1]預算內選單資料來源!K51</f>
        <v/>
      </c>
      <c r="L51" s="260">
        <f>[1]預算內選單資料來源!L51</f>
        <v/>
      </c>
    </row>
    <row r="52" ht="16.5" customHeight="1" s="124">
      <c r="A52" s="123">
        <f>[1]預算內選單資料來源!A52</f>
        <v/>
      </c>
      <c r="B52" s="260">
        <f>[1]預算內選單資料來源!B52</f>
        <v/>
      </c>
      <c r="C52" s="260">
        <f>[1]預算內選單資料來源!C52</f>
        <v/>
      </c>
      <c r="D52" s="260">
        <f>[1]預算內選單資料來源!D52</f>
        <v/>
      </c>
      <c r="E52" s="260">
        <f>[1]預算內選單資料來源!E52</f>
        <v/>
      </c>
      <c r="F52" s="260">
        <f>[1]預算內選單資料來源!F52</f>
        <v/>
      </c>
      <c r="G52" s="260">
        <f>[1]預算內選單資料來源!G52</f>
        <v/>
      </c>
      <c r="H52" s="260">
        <f>[1]預算內選單資料來源!H52</f>
        <v/>
      </c>
      <c r="I52" s="260">
        <f>[1]預算內選單資料來源!I52</f>
        <v/>
      </c>
      <c r="J52" s="260">
        <f>[1]預算內選單資料來源!J52</f>
        <v/>
      </c>
      <c r="K52" s="260">
        <f>[1]預算內選單資料來源!K52</f>
        <v/>
      </c>
      <c r="L52" s="260">
        <f>[1]預算內選單資料來源!L52</f>
        <v/>
      </c>
    </row>
    <row r="53" ht="16.5" customHeight="1" s="124">
      <c r="A53" s="123">
        <f>[1]預算內選單資料來源!A53</f>
        <v/>
      </c>
      <c r="B53" s="260">
        <f>[1]預算內選單資料來源!B53</f>
        <v/>
      </c>
      <c r="C53" s="260">
        <f>[1]預算內選單資料來源!C53</f>
        <v/>
      </c>
      <c r="D53" s="260">
        <f>[1]預算內選單資料來源!D53</f>
        <v/>
      </c>
      <c r="E53" s="260">
        <f>[1]預算內選單資料來源!E53</f>
        <v/>
      </c>
      <c r="F53" s="260">
        <f>[1]預算內選單資料來源!F53</f>
        <v/>
      </c>
      <c r="G53" s="260">
        <f>[1]預算內選單資料來源!G53</f>
        <v/>
      </c>
      <c r="H53" s="260">
        <f>[1]預算內選單資料來源!H53</f>
        <v/>
      </c>
      <c r="I53" s="260">
        <f>[1]預算內選單資料來源!I53</f>
        <v/>
      </c>
      <c r="J53" s="260">
        <f>[1]預算內選單資料來源!J53</f>
        <v/>
      </c>
      <c r="K53" s="260">
        <f>[1]預算內選單資料來源!K53</f>
        <v/>
      </c>
      <c r="L53" s="260">
        <f>[1]預算內選單資料來源!L53</f>
        <v/>
      </c>
    </row>
    <row r="54" ht="16.5" customHeight="1" s="124">
      <c r="A54" s="123">
        <f>[1]預算內選單資料來源!A54</f>
        <v/>
      </c>
      <c r="B54" s="260">
        <f>[1]預算內選單資料來源!B54</f>
        <v/>
      </c>
      <c r="C54" s="260">
        <f>[1]預算內選單資料來源!C54</f>
        <v/>
      </c>
      <c r="D54" s="260">
        <f>[1]預算內選單資料來源!D54</f>
        <v/>
      </c>
      <c r="E54" s="260">
        <f>[1]預算內選單資料來源!E54</f>
        <v/>
      </c>
      <c r="F54" s="260">
        <f>[1]預算內選單資料來源!F54</f>
        <v/>
      </c>
      <c r="G54" s="260">
        <f>[1]預算內選單資料來源!G54</f>
        <v/>
      </c>
      <c r="H54" s="260">
        <f>[1]預算內選單資料來源!H54</f>
        <v/>
      </c>
      <c r="I54" s="260">
        <f>[1]預算內選單資料來源!I54</f>
        <v/>
      </c>
      <c r="J54" s="260">
        <f>[1]預算內選單資料來源!J54</f>
        <v/>
      </c>
      <c r="K54" s="260">
        <f>[1]預算內選單資料來源!K54</f>
        <v/>
      </c>
      <c r="L54" s="260">
        <f>[1]預算內選單資料來源!L54</f>
        <v/>
      </c>
    </row>
    <row r="55" ht="16.5" customHeight="1" s="124">
      <c r="A55" s="123">
        <f>[1]預算內選單資料來源!A55</f>
        <v/>
      </c>
      <c r="B55" s="260">
        <f>[1]預算內選單資料來源!B55</f>
        <v/>
      </c>
      <c r="C55" s="260">
        <f>[1]預算內選單資料來源!C55</f>
        <v/>
      </c>
      <c r="D55" s="260">
        <f>[1]預算內選單資料來源!D55</f>
        <v/>
      </c>
      <c r="E55" s="260">
        <f>[1]預算內選單資料來源!E55</f>
        <v/>
      </c>
      <c r="F55" s="260">
        <f>[1]預算內選單資料來源!F55</f>
        <v/>
      </c>
      <c r="G55" s="260">
        <f>[1]預算內選單資料來源!G55</f>
        <v/>
      </c>
      <c r="H55" s="260">
        <f>[1]預算內選單資料來源!H55</f>
        <v/>
      </c>
      <c r="I55" s="260">
        <f>[1]預算內選單資料來源!I55</f>
        <v/>
      </c>
      <c r="J55" s="260">
        <f>[1]預算內選單資料來源!J55</f>
        <v/>
      </c>
      <c r="K55" s="260">
        <f>[1]預算內選單資料來源!K55</f>
        <v/>
      </c>
      <c r="L55" s="260">
        <f>[1]預算內選單資料來源!L55</f>
        <v/>
      </c>
    </row>
    <row r="56" ht="16.5" customHeight="1" s="124">
      <c r="A56" s="123">
        <f>[1]預算內選單資料來源!A56</f>
        <v/>
      </c>
      <c r="B56" s="260">
        <f>[1]預算內選單資料來源!B56</f>
        <v/>
      </c>
      <c r="C56" s="260">
        <f>[1]預算內選單資料來源!C56</f>
        <v/>
      </c>
      <c r="D56" s="260">
        <f>[1]預算內選單資料來源!D56</f>
        <v/>
      </c>
      <c r="E56" s="260">
        <f>[1]預算內選單資料來源!E56</f>
        <v/>
      </c>
      <c r="F56" s="260">
        <f>[1]預算內選單資料來源!F56</f>
        <v/>
      </c>
      <c r="G56" s="260">
        <f>[1]預算內選單資料來源!G56</f>
        <v/>
      </c>
      <c r="H56" s="260">
        <f>[1]預算內選單資料來源!H56</f>
        <v/>
      </c>
      <c r="I56" s="260">
        <f>[1]預算內選單資料來源!I56</f>
        <v/>
      </c>
      <c r="J56" s="260">
        <f>[1]預算內選單資料來源!J56</f>
        <v/>
      </c>
      <c r="K56" s="260">
        <f>[1]預算內選單資料來源!K56</f>
        <v/>
      </c>
      <c r="L56" s="260">
        <f>[1]預算內選單資料來源!L56</f>
        <v/>
      </c>
    </row>
    <row r="57" ht="16.5" customHeight="1" s="124">
      <c r="A57" s="123">
        <f>[1]預算內選單資料來源!A57</f>
        <v/>
      </c>
      <c r="B57" s="260">
        <f>[1]預算內選單資料來源!B57</f>
        <v/>
      </c>
      <c r="C57" s="260">
        <f>[1]預算內選單資料來源!C57</f>
        <v/>
      </c>
      <c r="D57" s="260">
        <f>[1]預算內選單資料來源!D57</f>
        <v/>
      </c>
      <c r="E57" s="260">
        <f>[1]預算內選單資料來源!E57</f>
        <v/>
      </c>
      <c r="F57" s="260">
        <f>[1]預算內選單資料來源!F57</f>
        <v/>
      </c>
      <c r="G57" s="260">
        <f>[1]預算內選單資料來源!G57</f>
        <v/>
      </c>
      <c r="H57" s="260">
        <f>[1]預算內選單資料來源!H57</f>
        <v/>
      </c>
      <c r="I57" s="260">
        <f>[1]預算內選單資料來源!I57</f>
        <v/>
      </c>
      <c r="J57" s="260">
        <f>[1]預算內選單資料來源!J57</f>
        <v/>
      </c>
      <c r="K57" s="260">
        <f>[1]預算內選單資料來源!K57</f>
        <v/>
      </c>
      <c r="L57" s="260">
        <f>[1]預算內選單資料來源!L57</f>
        <v/>
      </c>
    </row>
    <row r="58" ht="16.5" customHeight="1" s="124">
      <c r="A58" s="123">
        <f>[1]預算內選單資料來源!A58</f>
        <v/>
      </c>
      <c r="B58" s="260">
        <f>[1]預算內選單資料來源!B58</f>
        <v/>
      </c>
      <c r="C58" s="260">
        <f>[1]預算內選單資料來源!C58</f>
        <v/>
      </c>
      <c r="D58" s="260">
        <f>[1]預算內選單資料來源!D58</f>
        <v/>
      </c>
      <c r="E58" s="260">
        <f>[1]預算內選單資料來源!E58</f>
        <v/>
      </c>
      <c r="F58" s="260">
        <f>[1]預算內選單資料來源!F58</f>
        <v/>
      </c>
      <c r="G58" s="260">
        <f>[1]預算內選單資料來源!G58</f>
        <v/>
      </c>
      <c r="H58" s="260">
        <f>[1]預算內選單資料來源!H58</f>
        <v/>
      </c>
      <c r="I58" s="260">
        <f>[1]預算內選單資料來源!I58</f>
        <v/>
      </c>
      <c r="J58" s="260">
        <f>[1]預算內選單資料來源!J58</f>
        <v/>
      </c>
      <c r="K58" s="260">
        <f>[1]預算內選單資料來源!K58</f>
        <v/>
      </c>
      <c r="L58" s="260">
        <f>[1]預算內選單資料來源!L58</f>
        <v/>
      </c>
    </row>
    <row r="59" ht="16.5" customHeight="1" s="124">
      <c r="A59" s="123">
        <f>[1]預算內選單資料來源!A59</f>
        <v/>
      </c>
      <c r="B59" s="260">
        <f>[1]預算內選單資料來源!B59</f>
        <v/>
      </c>
      <c r="C59" s="260">
        <f>[1]預算內選單資料來源!C59</f>
        <v/>
      </c>
      <c r="D59" s="260">
        <f>[1]預算內選單資料來源!D59</f>
        <v/>
      </c>
      <c r="E59" s="260">
        <f>[1]預算內選單資料來源!E59</f>
        <v/>
      </c>
      <c r="F59" s="260">
        <f>[1]預算內選單資料來源!F59</f>
        <v/>
      </c>
      <c r="G59" s="260">
        <f>[1]預算內選單資料來源!G59</f>
        <v/>
      </c>
      <c r="H59" s="260">
        <f>[1]預算內選單資料來源!H59</f>
        <v/>
      </c>
      <c r="I59" s="260">
        <f>[1]預算內選單資料來源!I59</f>
        <v/>
      </c>
      <c r="J59" s="260">
        <f>[1]預算內選單資料來源!J59</f>
        <v/>
      </c>
      <c r="K59" s="260">
        <f>[1]預算內選單資料來源!K59</f>
        <v/>
      </c>
      <c r="L59" s="260">
        <f>[1]預算內選單資料來源!L59</f>
        <v/>
      </c>
    </row>
    <row r="60" ht="16.5" customHeight="1" s="124">
      <c r="A60" s="123">
        <f>[1]預算內選單資料來源!A60</f>
        <v/>
      </c>
      <c r="B60" s="260">
        <f>[1]預算內選單資料來源!B60</f>
        <v/>
      </c>
      <c r="C60" s="260">
        <f>[1]預算內選單資料來源!C60</f>
        <v/>
      </c>
      <c r="D60" s="260">
        <f>[1]預算內選單資料來源!D60</f>
        <v/>
      </c>
      <c r="E60" s="260">
        <f>[1]預算內選單資料來源!E60</f>
        <v/>
      </c>
      <c r="F60" s="260">
        <f>[1]預算內選單資料來源!F60</f>
        <v/>
      </c>
      <c r="G60" s="260">
        <f>[1]預算內選單資料來源!G60</f>
        <v/>
      </c>
      <c r="H60" s="260">
        <f>[1]預算內選單資料來源!H60</f>
        <v/>
      </c>
      <c r="I60" s="260">
        <f>[1]預算內選單資料來源!I60</f>
        <v/>
      </c>
      <c r="J60" s="260">
        <f>[1]預算內選單資料來源!J60</f>
        <v/>
      </c>
      <c r="K60" s="260">
        <f>[1]預算內選單資料來源!K60</f>
        <v/>
      </c>
      <c r="L60" s="260">
        <f>[1]預算內選單資料來源!L60</f>
        <v/>
      </c>
    </row>
    <row r="61" ht="16.5" customHeight="1" s="124">
      <c r="A61" s="123">
        <f>[1]預算內選單資料來源!A61</f>
        <v/>
      </c>
      <c r="B61" s="260">
        <f>[1]預算內選單資料來源!B61</f>
        <v/>
      </c>
      <c r="C61" s="260">
        <f>[1]預算內選單資料來源!C61</f>
        <v/>
      </c>
      <c r="D61" s="260">
        <f>[1]預算內選單資料來源!D61</f>
        <v/>
      </c>
      <c r="E61" s="260">
        <f>[1]預算內選單資料來源!E61</f>
        <v/>
      </c>
      <c r="F61" s="260">
        <f>[1]預算內選單資料來源!F61</f>
        <v/>
      </c>
      <c r="G61" s="260">
        <f>[1]預算內選單資料來源!G61</f>
        <v/>
      </c>
      <c r="H61" s="260">
        <f>[1]預算內選單資料來源!H61</f>
        <v/>
      </c>
      <c r="I61" s="260">
        <f>[1]預算內選單資料來源!I61</f>
        <v/>
      </c>
      <c r="J61" s="260">
        <f>[1]預算內選單資料來源!J61</f>
        <v/>
      </c>
      <c r="K61" s="260">
        <f>[1]預算內選單資料來源!K61</f>
        <v/>
      </c>
      <c r="L61" s="260">
        <f>[1]預算內選單資料來源!L61</f>
        <v/>
      </c>
    </row>
    <row r="62" ht="16.5" customHeight="1" s="124">
      <c r="A62" s="123">
        <f>[1]預算內選單資料來源!A62</f>
        <v/>
      </c>
      <c r="B62" s="260">
        <f>[1]預算內選單資料來源!B62</f>
        <v/>
      </c>
      <c r="C62" s="260">
        <f>[1]預算內選單資料來源!C62</f>
        <v/>
      </c>
      <c r="D62" s="260">
        <f>[1]預算內選單資料來源!D62</f>
        <v/>
      </c>
      <c r="E62" s="260">
        <f>[1]預算內選單資料來源!E62</f>
        <v/>
      </c>
      <c r="F62" s="260">
        <f>[1]預算內選單資料來源!F62</f>
        <v/>
      </c>
      <c r="G62" s="260">
        <f>[1]預算內選單資料來源!G62</f>
        <v/>
      </c>
      <c r="H62" s="260">
        <f>[1]預算內選單資料來源!H62</f>
        <v/>
      </c>
      <c r="I62" s="260">
        <f>[1]預算內選單資料來源!I62</f>
        <v/>
      </c>
      <c r="J62" s="260">
        <f>[1]預算內選單資料來源!J62</f>
        <v/>
      </c>
      <c r="K62" s="260">
        <f>[1]預算內選單資料來源!K62</f>
        <v/>
      </c>
      <c r="L62" s="260">
        <f>[1]預算內選單資料來源!L62</f>
        <v/>
      </c>
    </row>
    <row r="63" ht="16.5" customHeight="1" s="124">
      <c r="A63" s="123">
        <f>[1]預算內選單資料來源!A63</f>
        <v/>
      </c>
      <c r="B63" s="260">
        <f>[1]預算內選單資料來源!B63</f>
        <v/>
      </c>
      <c r="C63" s="260">
        <f>[1]預算內選單資料來源!C63</f>
        <v/>
      </c>
      <c r="D63" s="260">
        <f>[1]預算內選單資料來源!D63</f>
        <v/>
      </c>
      <c r="E63" s="260">
        <f>[1]預算內選單資料來源!E63</f>
        <v/>
      </c>
      <c r="F63" s="260">
        <f>[1]預算內選單資料來源!F63</f>
        <v/>
      </c>
      <c r="G63" s="260">
        <f>[1]預算內選單資料來源!G63</f>
        <v/>
      </c>
      <c r="H63" s="260">
        <f>[1]預算內選單資料來源!H63</f>
        <v/>
      </c>
      <c r="I63" s="260">
        <f>[1]預算內選單資料來源!I63</f>
        <v/>
      </c>
      <c r="J63" s="260">
        <f>[1]預算內選單資料來源!J63</f>
        <v/>
      </c>
      <c r="K63" s="260">
        <f>[1]預算內選單資料來源!K63</f>
        <v/>
      </c>
      <c r="L63" s="260">
        <f>[1]預算內選單資料來源!L63</f>
        <v/>
      </c>
    </row>
    <row r="64" ht="16.5" customHeight="1" s="124">
      <c r="A64" s="123">
        <f>[1]預算內選單資料來源!A64</f>
        <v/>
      </c>
      <c r="B64" s="260">
        <f>[1]預算內選單資料來源!B64</f>
        <v/>
      </c>
      <c r="C64" s="260">
        <f>[1]預算內選單資料來源!C64</f>
        <v/>
      </c>
      <c r="D64" s="260">
        <f>[1]預算內選單資料來源!D64</f>
        <v/>
      </c>
      <c r="E64" s="260">
        <f>[1]預算內選單資料來源!E64</f>
        <v/>
      </c>
      <c r="F64" s="260">
        <f>[1]預算內選單資料來源!F64</f>
        <v/>
      </c>
      <c r="G64" s="260">
        <f>[1]預算內選單資料來源!G64</f>
        <v/>
      </c>
      <c r="H64" s="260">
        <f>[1]預算內選單資料來源!H64</f>
        <v/>
      </c>
      <c r="I64" s="260">
        <f>[1]預算內選單資料來源!I64</f>
        <v/>
      </c>
      <c r="J64" s="260">
        <f>[1]預算內選單資料來源!J64</f>
        <v/>
      </c>
      <c r="K64" s="260">
        <f>[1]預算內選單資料來源!K64</f>
        <v/>
      </c>
      <c r="L64" s="260">
        <f>[1]預算內選單資料來源!L64</f>
        <v/>
      </c>
    </row>
    <row r="65" ht="16.5" customHeight="1" s="124">
      <c r="A65" s="123">
        <f>[1]預算內選單資料來源!A65</f>
        <v/>
      </c>
      <c r="B65" s="260">
        <f>[1]預算內選單資料來源!B65</f>
        <v/>
      </c>
      <c r="C65" s="260">
        <f>[1]預算內選單資料來源!C65</f>
        <v/>
      </c>
      <c r="D65" s="260">
        <f>[1]預算內選單資料來源!D65</f>
        <v/>
      </c>
      <c r="E65" s="260">
        <f>[1]預算內選單資料來源!E65</f>
        <v/>
      </c>
      <c r="F65" s="260">
        <f>[1]預算內選單資料來源!F65</f>
        <v/>
      </c>
      <c r="G65" s="260">
        <f>[1]預算內選單資料來源!G65</f>
        <v/>
      </c>
      <c r="H65" s="260">
        <f>[1]預算內選單資料來源!H65</f>
        <v/>
      </c>
      <c r="I65" s="260">
        <f>[1]預算內選單資料來源!I65</f>
        <v/>
      </c>
      <c r="J65" s="260">
        <f>[1]預算內選單資料來源!J65</f>
        <v/>
      </c>
      <c r="K65" s="260">
        <f>[1]預算內選單資料來源!K65</f>
        <v/>
      </c>
      <c r="L65" s="260">
        <f>[1]預算內選單資料來源!L65</f>
        <v/>
      </c>
    </row>
    <row r="66" ht="16.5" customHeight="1" s="124">
      <c r="A66" s="123">
        <f>[1]預算內選單資料來源!A66</f>
        <v/>
      </c>
      <c r="B66" s="260">
        <f>[1]預算內選單資料來源!B66</f>
        <v/>
      </c>
      <c r="C66" s="260">
        <f>[1]預算內選單資料來源!C66</f>
        <v/>
      </c>
      <c r="D66" s="260">
        <f>[1]預算內選單資料來源!D66</f>
        <v/>
      </c>
      <c r="E66" s="260">
        <f>[1]預算內選單資料來源!E66</f>
        <v/>
      </c>
      <c r="F66" s="260">
        <f>[1]預算內選單資料來源!F66</f>
        <v/>
      </c>
      <c r="G66" s="260">
        <f>[1]預算內選單資料來源!G66</f>
        <v/>
      </c>
      <c r="H66" s="260">
        <f>[1]預算內選單資料來源!H66</f>
        <v/>
      </c>
      <c r="I66" s="260">
        <f>[1]預算內選單資料來源!I66</f>
        <v/>
      </c>
      <c r="J66" s="260">
        <f>[1]預算內選單資料來源!J66</f>
        <v/>
      </c>
      <c r="K66" s="260">
        <f>[1]預算內選單資料來源!K66</f>
        <v/>
      </c>
      <c r="L66" s="260">
        <f>[1]預算內選單資料來源!L66</f>
        <v/>
      </c>
    </row>
    <row r="67" ht="16.5" customHeight="1" s="124">
      <c r="A67" s="123">
        <f>[1]預算內選單資料來源!A67</f>
        <v/>
      </c>
      <c r="B67" s="260">
        <f>[1]預算內選單資料來源!B67</f>
        <v/>
      </c>
      <c r="C67" s="260">
        <f>[1]預算內選單資料來源!C67</f>
        <v/>
      </c>
      <c r="D67" s="260">
        <f>[1]預算內選單資料來源!D67</f>
        <v/>
      </c>
      <c r="E67" s="260">
        <f>[1]預算內選單資料來源!E67</f>
        <v/>
      </c>
      <c r="F67" s="260">
        <f>[1]預算內選單資料來源!F67</f>
        <v/>
      </c>
      <c r="G67" s="260">
        <f>[1]預算內選單資料來源!G67</f>
        <v/>
      </c>
      <c r="H67" s="260">
        <f>[1]預算內選單資料來源!H67</f>
        <v/>
      </c>
      <c r="I67" s="260">
        <f>[1]預算內選單資料來源!I67</f>
        <v/>
      </c>
      <c r="J67" s="260">
        <f>[1]預算內選單資料來源!J67</f>
        <v/>
      </c>
      <c r="K67" s="260">
        <f>[1]預算內選單資料來源!K67</f>
        <v/>
      </c>
      <c r="L67" s="260">
        <f>[1]預算內選單資料來源!L67</f>
        <v/>
      </c>
    </row>
    <row r="68" ht="16.5" customHeight="1" s="124">
      <c r="A68" s="123">
        <f>[1]預算內選單資料來源!A68</f>
        <v/>
      </c>
      <c r="B68" s="260">
        <f>[1]預算內選單資料來源!B68</f>
        <v/>
      </c>
      <c r="C68" s="260">
        <f>[1]預算內選單資料來源!C68</f>
        <v/>
      </c>
      <c r="D68" s="260">
        <f>[1]預算內選單資料來源!D68</f>
        <v/>
      </c>
      <c r="E68" s="260">
        <f>[1]預算內選單資料來源!E68</f>
        <v/>
      </c>
      <c r="F68" s="260">
        <f>[1]預算內選單資料來源!F68</f>
        <v/>
      </c>
      <c r="G68" s="260">
        <f>[1]預算內選單資料來源!G68</f>
        <v/>
      </c>
      <c r="H68" s="260">
        <f>[1]預算內選單資料來源!H68</f>
        <v/>
      </c>
      <c r="I68" s="260">
        <f>[1]預算內選單資料來源!I68</f>
        <v/>
      </c>
      <c r="J68" s="260">
        <f>[1]預算內選單資料來源!J68</f>
        <v/>
      </c>
      <c r="K68" s="260">
        <f>[1]預算內選單資料來源!K68</f>
        <v/>
      </c>
      <c r="L68" s="260">
        <f>[1]預算內選單資料來源!L68</f>
        <v/>
      </c>
    </row>
    <row r="69" ht="16.5" customHeight="1" s="124">
      <c r="A69" s="123">
        <f>[1]預算內選單資料來源!A69</f>
        <v/>
      </c>
      <c r="B69" s="260">
        <f>[1]預算內選單資料來源!B69</f>
        <v/>
      </c>
      <c r="C69" s="260">
        <f>[1]預算內選單資料來源!C69</f>
        <v/>
      </c>
      <c r="D69" s="260">
        <f>[1]預算內選單資料來源!D69</f>
        <v/>
      </c>
      <c r="E69" s="260">
        <f>[1]預算內選單資料來源!E69</f>
        <v/>
      </c>
      <c r="F69" s="260">
        <f>[1]預算內選單資料來源!F69</f>
        <v/>
      </c>
      <c r="G69" s="260">
        <f>[1]預算內選單資料來源!G69</f>
        <v/>
      </c>
      <c r="H69" s="260">
        <f>[1]預算內選單資料來源!H69</f>
        <v/>
      </c>
      <c r="I69" s="260">
        <f>[1]預算內選單資料來源!I69</f>
        <v/>
      </c>
      <c r="J69" s="260">
        <f>[1]預算內選單資料來源!J69</f>
        <v/>
      </c>
      <c r="K69" s="260">
        <f>[1]預算內選單資料來源!K69</f>
        <v/>
      </c>
      <c r="L69" s="260">
        <f>[1]預算內選單資料來源!L69</f>
        <v/>
      </c>
    </row>
    <row r="70" ht="16.5" customHeight="1" s="124">
      <c r="A70" s="123">
        <f>[1]預算內選單資料來源!A70</f>
        <v/>
      </c>
      <c r="B70" s="260">
        <f>[1]預算內選單資料來源!B70</f>
        <v/>
      </c>
      <c r="C70" s="260">
        <f>[1]預算內選單資料來源!C70</f>
        <v/>
      </c>
      <c r="D70" s="260">
        <f>[1]預算內選單資料來源!D70</f>
        <v/>
      </c>
      <c r="E70" s="260">
        <f>[1]預算內選單資料來源!E70</f>
        <v/>
      </c>
      <c r="F70" s="260">
        <f>[1]預算內選單資料來源!F70</f>
        <v/>
      </c>
      <c r="G70" s="260">
        <f>[1]預算內選單資料來源!G70</f>
        <v/>
      </c>
      <c r="H70" s="260">
        <f>[1]預算內選單資料來源!H70</f>
        <v/>
      </c>
      <c r="I70" s="260">
        <f>[1]預算內選單資料來源!I70</f>
        <v/>
      </c>
      <c r="J70" s="260">
        <f>[1]預算內選單資料來源!J70</f>
        <v/>
      </c>
      <c r="K70" s="260">
        <f>[1]預算內選單資料來源!K70</f>
        <v/>
      </c>
      <c r="L70" s="260">
        <f>[1]預算內選單資料來源!L70</f>
        <v/>
      </c>
    </row>
    <row r="71" ht="16.5" customHeight="1" s="124">
      <c r="A71" s="123">
        <f>[1]預算內選單資料來源!A71</f>
        <v/>
      </c>
      <c r="B71" s="260">
        <f>[1]預算內選單資料來源!B71</f>
        <v/>
      </c>
      <c r="C71" s="260">
        <f>[1]預算內選單資料來源!C71</f>
        <v/>
      </c>
      <c r="D71" s="260">
        <f>[1]預算內選單資料來源!D71</f>
        <v/>
      </c>
      <c r="E71" s="260">
        <f>[1]預算內選單資料來源!E71</f>
        <v/>
      </c>
      <c r="F71" s="260">
        <f>[1]預算內選單資料來源!F71</f>
        <v/>
      </c>
      <c r="G71" s="260">
        <f>[1]預算內選單資料來源!G71</f>
        <v/>
      </c>
      <c r="H71" s="260">
        <f>[1]預算內選單資料來源!H71</f>
        <v/>
      </c>
      <c r="I71" s="260">
        <f>[1]預算內選單資料來源!I71</f>
        <v/>
      </c>
      <c r="J71" s="260">
        <f>[1]預算內選單資料來源!J71</f>
        <v/>
      </c>
      <c r="K71" s="260">
        <f>[1]預算內選單資料來源!K71</f>
        <v/>
      </c>
      <c r="L71" s="260">
        <f>[1]預算內選單資料來源!L71</f>
        <v/>
      </c>
    </row>
    <row r="72" ht="16.5" customHeight="1" s="124">
      <c r="A72" s="123">
        <f>[1]預算內選單資料來源!A72</f>
        <v/>
      </c>
      <c r="B72" s="260">
        <f>[1]預算內選單資料來源!B72</f>
        <v/>
      </c>
      <c r="C72" s="260">
        <f>[1]預算內選單資料來源!C72</f>
        <v/>
      </c>
      <c r="D72" s="260">
        <f>[1]預算內選單資料來源!D72</f>
        <v/>
      </c>
      <c r="E72" s="260">
        <f>[1]預算內選單資料來源!E72</f>
        <v/>
      </c>
      <c r="F72" s="260">
        <f>[1]預算內選單資料來源!F72</f>
        <v/>
      </c>
      <c r="G72" s="260">
        <f>[1]預算內選單資料來源!G72</f>
        <v/>
      </c>
      <c r="H72" s="260">
        <f>[1]預算內選單資料來源!H72</f>
        <v/>
      </c>
      <c r="I72" s="260">
        <f>[1]預算內選單資料來源!I72</f>
        <v/>
      </c>
      <c r="J72" s="260">
        <f>[1]預算內選單資料來源!J72</f>
        <v/>
      </c>
      <c r="K72" s="260">
        <f>[1]預算內選單資料來源!K72</f>
        <v/>
      </c>
      <c r="L72" s="260">
        <f>[1]預算內選單資料來源!L72</f>
        <v/>
      </c>
    </row>
    <row r="73" ht="16.5" customHeight="1" s="124">
      <c r="A73" s="123">
        <f>[1]預算內選單資料來源!A73</f>
        <v/>
      </c>
      <c r="B73" s="260">
        <f>[1]預算內選單資料來源!B73</f>
        <v/>
      </c>
      <c r="C73" s="260">
        <f>[1]預算內選單資料來源!C73</f>
        <v/>
      </c>
      <c r="D73" s="260">
        <f>[1]預算內選單資料來源!D73</f>
        <v/>
      </c>
      <c r="E73" s="260">
        <f>[1]預算內選單資料來源!E73</f>
        <v/>
      </c>
      <c r="F73" s="260">
        <f>[1]預算內選單資料來源!F73</f>
        <v/>
      </c>
      <c r="G73" s="260">
        <f>[1]預算內選單資料來源!G73</f>
        <v/>
      </c>
      <c r="H73" s="260">
        <f>[1]預算內選單資料來源!H73</f>
        <v/>
      </c>
      <c r="I73" s="260">
        <f>[1]預算內選單資料來源!I73</f>
        <v/>
      </c>
      <c r="J73" s="260">
        <f>[1]預算內選單資料來源!J73</f>
        <v/>
      </c>
      <c r="K73" s="260">
        <f>[1]預算內選單資料來源!K73</f>
        <v/>
      </c>
      <c r="L73" s="260">
        <f>[1]預算內選單資料來源!L73</f>
        <v/>
      </c>
    </row>
    <row r="74" ht="16.5" customHeight="1" s="124">
      <c r="A74" s="123">
        <f>[1]預算內選單資料來源!A74</f>
        <v/>
      </c>
      <c r="B74" s="260">
        <f>[1]預算內選單資料來源!B74</f>
        <v/>
      </c>
      <c r="C74" s="260">
        <f>[1]預算內選單資料來源!C74</f>
        <v/>
      </c>
      <c r="D74" s="260">
        <f>[1]預算內選單資料來源!D74</f>
        <v/>
      </c>
      <c r="E74" s="260">
        <f>[1]預算內選單資料來源!E74</f>
        <v/>
      </c>
      <c r="F74" s="260">
        <f>[1]預算內選單資料來源!F74</f>
        <v/>
      </c>
      <c r="G74" s="260">
        <f>[1]預算內選單資料來源!G74</f>
        <v/>
      </c>
      <c r="H74" s="260">
        <f>[1]預算內選單資料來源!H74</f>
        <v/>
      </c>
      <c r="I74" s="260">
        <f>[1]預算內選單資料來源!I74</f>
        <v/>
      </c>
      <c r="J74" s="260">
        <f>[1]預算內選單資料來源!J74</f>
        <v/>
      </c>
      <c r="K74" s="260">
        <f>[1]預算內選單資料來源!K74</f>
        <v/>
      </c>
      <c r="L74" s="260">
        <f>[1]預算內選單資料來源!L74</f>
        <v/>
      </c>
    </row>
    <row r="75" ht="16.5" customHeight="1" s="124">
      <c r="A75" s="123">
        <f>[1]預算內選單資料來源!A75</f>
        <v/>
      </c>
      <c r="B75" s="260">
        <f>[1]預算內選單資料來源!B75</f>
        <v/>
      </c>
      <c r="C75" s="260">
        <f>[1]預算內選單資料來源!C75</f>
        <v/>
      </c>
      <c r="D75" s="260">
        <f>[1]預算內選單資料來源!D75</f>
        <v/>
      </c>
      <c r="E75" s="260">
        <f>[1]預算內選單資料來源!E75</f>
        <v/>
      </c>
      <c r="F75" s="260">
        <f>[1]預算內選單資料來源!F75</f>
        <v/>
      </c>
      <c r="G75" s="260">
        <f>[1]預算內選單資料來源!G75</f>
        <v/>
      </c>
      <c r="H75" s="260">
        <f>[1]預算內選單資料來源!H75</f>
        <v/>
      </c>
      <c r="I75" s="260">
        <f>[1]預算內選單資料來源!I75</f>
        <v/>
      </c>
      <c r="J75" s="260">
        <f>[1]預算內選單資料來源!J75</f>
        <v/>
      </c>
      <c r="K75" s="260">
        <f>[1]預算內選單資料來源!K75</f>
        <v/>
      </c>
      <c r="L75" s="260">
        <f>[1]預算內選單資料來源!L75</f>
        <v/>
      </c>
    </row>
    <row r="76" ht="16.5" customHeight="1" s="124">
      <c r="A76" s="123">
        <f>[1]預算內選單資料來源!A76</f>
        <v/>
      </c>
      <c r="B76" s="260">
        <f>[1]預算內選單資料來源!B76</f>
        <v/>
      </c>
      <c r="C76" s="260">
        <f>[1]預算內選單資料來源!C76</f>
        <v/>
      </c>
      <c r="D76" s="260">
        <f>[1]預算內選單資料來源!D76</f>
        <v/>
      </c>
      <c r="E76" s="260">
        <f>[1]預算內選單資料來源!E76</f>
        <v/>
      </c>
      <c r="F76" s="260">
        <f>[1]預算內選單資料來源!F76</f>
        <v/>
      </c>
      <c r="G76" s="260">
        <f>[1]預算內選單資料來源!G76</f>
        <v/>
      </c>
      <c r="H76" s="260">
        <f>[1]預算內選單資料來源!H76</f>
        <v/>
      </c>
      <c r="I76" s="260">
        <f>[1]預算內選單資料來源!I76</f>
        <v/>
      </c>
      <c r="J76" s="260">
        <f>[1]預算內選單資料來源!J76</f>
        <v/>
      </c>
      <c r="K76" s="260">
        <f>[1]預算內選單資料來源!K76</f>
        <v/>
      </c>
      <c r="L76" s="260">
        <f>[1]預算內選單資料來源!L76</f>
        <v/>
      </c>
    </row>
    <row r="77" ht="16.5" customHeight="1" s="124">
      <c r="A77" s="123">
        <f>[1]預算內選單資料來源!A77</f>
        <v/>
      </c>
      <c r="B77" s="260">
        <f>[1]預算內選單資料來源!B77</f>
        <v/>
      </c>
      <c r="C77" s="260">
        <f>[1]預算內選單資料來源!C77</f>
        <v/>
      </c>
      <c r="D77" s="260">
        <f>[1]預算內選單資料來源!D77</f>
        <v/>
      </c>
      <c r="E77" s="260">
        <f>[1]預算內選單資料來源!E77</f>
        <v/>
      </c>
      <c r="F77" s="260">
        <f>[1]預算內選單資料來源!F77</f>
        <v/>
      </c>
      <c r="G77" s="260">
        <f>[1]預算內選單資料來源!G77</f>
        <v/>
      </c>
      <c r="H77" s="260">
        <f>[1]預算內選單資料來源!H77</f>
        <v/>
      </c>
      <c r="I77" s="260">
        <f>[1]預算內選單資料來源!I77</f>
        <v/>
      </c>
      <c r="J77" s="260">
        <f>[1]預算內選單資料來源!J77</f>
        <v/>
      </c>
      <c r="K77" s="260">
        <f>[1]預算內選單資料來源!K77</f>
        <v/>
      </c>
      <c r="L77" s="260">
        <f>[1]預算內選單資料來源!L77</f>
        <v/>
      </c>
    </row>
    <row r="78" ht="16.5" customHeight="1" s="124">
      <c r="A78" s="123">
        <f>[1]預算內選單資料來源!A78</f>
        <v/>
      </c>
      <c r="B78" s="260">
        <f>[1]預算內選單資料來源!B78</f>
        <v/>
      </c>
      <c r="C78" s="260">
        <f>[1]預算內選單資料來源!C78</f>
        <v/>
      </c>
      <c r="D78" s="260">
        <f>[1]預算內選單資料來源!D78</f>
        <v/>
      </c>
      <c r="E78" s="260">
        <f>[1]預算內選單資料來源!E78</f>
        <v/>
      </c>
      <c r="F78" s="260">
        <f>[1]預算內選單資料來源!F78</f>
        <v/>
      </c>
      <c r="G78" s="260">
        <f>[1]預算內選單資料來源!G78</f>
        <v/>
      </c>
      <c r="H78" s="260">
        <f>[1]預算內選單資料來源!H78</f>
        <v/>
      </c>
      <c r="I78" s="260">
        <f>[1]預算內選單資料來源!I78</f>
        <v/>
      </c>
      <c r="J78" s="260">
        <f>[1]預算內選單資料來源!J78</f>
        <v/>
      </c>
      <c r="K78" s="260">
        <f>[1]預算內選單資料來源!K78</f>
        <v/>
      </c>
      <c r="L78" s="260">
        <f>[1]預算內選單資料來源!L78</f>
        <v/>
      </c>
    </row>
    <row r="79" ht="16.5" customHeight="1" s="124">
      <c r="A79" s="123">
        <f>[1]預算內選單資料來源!A79</f>
        <v/>
      </c>
      <c r="B79" s="260">
        <f>[1]預算內選單資料來源!B79</f>
        <v/>
      </c>
      <c r="C79" s="260">
        <f>[1]預算內選單資料來源!C79</f>
        <v/>
      </c>
      <c r="D79" s="260">
        <f>[1]預算內選單資料來源!D79</f>
        <v/>
      </c>
      <c r="E79" s="260">
        <f>[1]預算內選單資料來源!E79</f>
        <v/>
      </c>
      <c r="F79" s="260">
        <f>[1]預算內選單資料來源!F79</f>
        <v/>
      </c>
      <c r="G79" s="260">
        <f>[1]預算內選單資料來源!G79</f>
        <v/>
      </c>
      <c r="H79" s="260">
        <f>[1]預算內選單資料來源!H79</f>
        <v/>
      </c>
      <c r="I79" s="260">
        <f>[1]預算內選單資料來源!I79</f>
        <v/>
      </c>
      <c r="J79" s="260">
        <f>[1]預算內選單資料來源!J79</f>
        <v/>
      </c>
      <c r="K79" s="260">
        <f>[1]預算內選單資料來源!K79</f>
        <v/>
      </c>
      <c r="L79" s="260">
        <f>[1]預算內選單資料來源!L79</f>
        <v/>
      </c>
    </row>
    <row r="80" ht="16.5" customHeight="1" s="124">
      <c r="A80" s="123">
        <f>[1]預算內選單資料來源!A80</f>
        <v/>
      </c>
      <c r="B80" s="260">
        <f>[1]預算內選單資料來源!B80</f>
        <v/>
      </c>
      <c r="C80" s="260">
        <f>[1]預算內選單資料來源!C80</f>
        <v/>
      </c>
      <c r="D80" s="260">
        <f>[1]預算內選單資料來源!D80</f>
        <v/>
      </c>
      <c r="E80" s="260">
        <f>[1]預算內選單資料來源!E80</f>
        <v/>
      </c>
      <c r="F80" s="260">
        <f>[1]預算內選單資料來源!F80</f>
        <v/>
      </c>
      <c r="G80" s="260">
        <f>[1]預算內選單資料來源!G80</f>
        <v/>
      </c>
      <c r="H80" s="260">
        <f>[1]預算內選單資料來源!H80</f>
        <v/>
      </c>
      <c r="I80" s="260">
        <f>[1]預算內選單資料來源!I80</f>
        <v/>
      </c>
      <c r="J80" s="260">
        <f>[1]預算內選單資料來源!J80</f>
        <v/>
      </c>
      <c r="K80" s="260">
        <f>[1]預算內選單資料來源!K80</f>
        <v/>
      </c>
      <c r="L80" s="260">
        <f>[1]預算內選單資料來源!L80</f>
        <v/>
      </c>
    </row>
    <row r="81" ht="16.5" customHeight="1" s="124">
      <c r="A81" s="123">
        <f>[1]預算內選單資料來源!A81</f>
        <v/>
      </c>
      <c r="B81" s="260">
        <f>[1]預算內選單資料來源!B81</f>
        <v/>
      </c>
      <c r="C81" s="260">
        <f>[1]預算內選單資料來源!C81</f>
        <v/>
      </c>
      <c r="D81" s="260">
        <f>[1]預算內選單資料來源!D81</f>
        <v/>
      </c>
      <c r="E81" s="260">
        <f>[1]預算內選單資料來源!E81</f>
        <v/>
      </c>
      <c r="F81" s="260">
        <f>[1]預算內選單資料來源!F81</f>
        <v/>
      </c>
      <c r="G81" s="260">
        <f>[1]預算內選單資料來源!G81</f>
        <v/>
      </c>
      <c r="H81" s="260">
        <f>[1]預算內選單資料來源!H81</f>
        <v/>
      </c>
      <c r="I81" s="260">
        <f>[1]預算內選單資料來源!I81</f>
        <v/>
      </c>
      <c r="J81" s="260">
        <f>[1]預算內選單資料來源!J81</f>
        <v/>
      </c>
      <c r="K81" s="260">
        <f>[1]預算內選單資料來源!K81</f>
        <v/>
      </c>
      <c r="L81" s="260">
        <f>[1]預算內選單資料來源!L81</f>
        <v/>
      </c>
    </row>
    <row r="82" ht="16.5" customHeight="1" s="124">
      <c r="A82" s="123">
        <f>[1]預算內選單資料來源!A82</f>
        <v/>
      </c>
      <c r="B82" s="260">
        <f>[1]預算內選單資料來源!B82</f>
        <v/>
      </c>
      <c r="C82" s="260">
        <f>[1]預算內選單資料來源!C82</f>
        <v/>
      </c>
      <c r="D82" s="260">
        <f>[1]預算內選單資料來源!D82</f>
        <v/>
      </c>
      <c r="E82" s="260">
        <f>[1]預算內選單資料來源!E82</f>
        <v/>
      </c>
      <c r="F82" s="260">
        <f>[1]預算內選單資料來源!F82</f>
        <v/>
      </c>
      <c r="G82" s="260">
        <f>[1]預算內選單資料來源!G82</f>
        <v/>
      </c>
      <c r="H82" s="260">
        <f>[1]預算內選單資料來源!H82</f>
        <v/>
      </c>
      <c r="I82" s="260">
        <f>[1]預算內選單資料來源!I82</f>
        <v/>
      </c>
      <c r="J82" s="260">
        <f>[1]預算內選單資料來源!J82</f>
        <v/>
      </c>
      <c r="K82" s="260">
        <f>[1]預算內選單資料來源!K82</f>
        <v/>
      </c>
      <c r="L82" s="260">
        <f>[1]預算內選單資料來源!L82</f>
        <v/>
      </c>
    </row>
    <row r="83" ht="16.5" customHeight="1" s="124">
      <c r="A83" s="123">
        <f>[1]預算內選單資料來源!A83</f>
        <v/>
      </c>
      <c r="B83" s="260">
        <f>[1]預算內選單資料來源!B83</f>
        <v/>
      </c>
      <c r="C83" s="260">
        <f>[1]預算內選單資料來源!C83</f>
        <v/>
      </c>
      <c r="D83" s="260">
        <f>[1]預算內選單資料來源!D83</f>
        <v/>
      </c>
      <c r="E83" s="260">
        <f>[1]預算內選單資料來源!E83</f>
        <v/>
      </c>
      <c r="F83" s="260">
        <f>[1]預算內選單資料來源!F83</f>
        <v/>
      </c>
      <c r="G83" s="260">
        <f>[1]預算內選單資料來源!G83</f>
        <v/>
      </c>
      <c r="H83" s="260">
        <f>[1]預算內選單資料來源!H83</f>
        <v/>
      </c>
      <c r="I83" s="260">
        <f>[1]預算內選單資料來源!I83</f>
        <v/>
      </c>
      <c r="J83" s="260">
        <f>[1]預算內選單資料來源!J83</f>
        <v/>
      </c>
      <c r="K83" s="260">
        <f>[1]預算內選單資料來源!K83</f>
        <v/>
      </c>
      <c r="L83" s="260">
        <f>[1]預算內選單資料來源!L83</f>
        <v/>
      </c>
    </row>
    <row r="84" ht="16.5" customHeight="1" s="124">
      <c r="A84" s="123">
        <f>[1]預算內選單資料來源!A84</f>
        <v/>
      </c>
      <c r="B84" s="260">
        <f>[1]預算內選單資料來源!B84</f>
        <v/>
      </c>
      <c r="C84" s="260">
        <f>[1]預算內選單資料來源!C84</f>
        <v/>
      </c>
      <c r="D84" s="260">
        <f>[1]預算內選單資料來源!D84</f>
        <v/>
      </c>
      <c r="E84" s="260">
        <f>[1]預算內選單資料來源!E84</f>
        <v/>
      </c>
      <c r="F84" s="260">
        <f>[1]預算內選單資料來源!F84</f>
        <v/>
      </c>
      <c r="G84" s="260">
        <f>[1]預算內選單資料來源!G84</f>
        <v/>
      </c>
      <c r="H84" s="260">
        <f>[1]預算內選單資料來源!H84</f>
        <v/>
      </c>
      <c r="I84" s="260">
        <f>[1]預算內選單資料來源!I84</f>
        <v/>
      </c>
      <c r="J84" s="260">
        <f>[1]預算內選單資料來源!J84</f>
        <v/>
      </c>
      <c r="K84" s="260">
        <f>[1]預算內選單資料來源!K84</f>
        <v/>
      </c>
      <c r="L84" s="260">
        <f>[1]預算內選單資料來源!L84</f>
        <v/>
      </c>
    </row>
    <row r="85" ht="16.5" customHeight="1" s="124">
      <c r="A85" s="123">
        <f>[1]預算內選單資料來源!A85</f>
        <v/>
      </c>
      <c r="B85" s="260">
        <f>[1]預算內選單資料來源!B85</f>
        <v/>
      </c>
      <c r="C85" s="260">
        <f>[1]預算內選單資料來源!C85</f>
        <v/>
      </c>
      <c r="D85" s="260">
        <f>[1]預算內選單資料來源!D85</f>
        <v/>
      </c>
      <c r="E85" s="260">
        <f>[1]預算內選單資料來源!E85</f>
        <v/>
      </c>
      <c r="F85" s="260">
        <f>[1]預算內選單資料來源!F85</f>
        <v/>
      </c>
      <c r="G85" s="260">
        <f>[1]預算內選單資料來源!G85</f>
        <v/>
      </c>
      <c r="H85" s="260">
        <f>[1]預算內選單資料來源!H85</f>
        <v/>
      </c>
      <c r="I85" s="260">
        <f>[1]預算內選單資料來源!I85</f>
        <v/>
      </c>
      <c r="J85" s="260">
        <f>[1]預算內選單資料來源!J85</f>
        <v/>
      </c>
      <c r="K85" s="260">
        <f>[1]預算內選單資料來源!K85</f>
        <v/>
      </c>
      <c r="L85" s="260">
        <f>[1]預算內選單資料來源!L85</f>
        <v/>
      </c>
    </row>
    <row r="86" ht="16.5" customHeight="1" s="124">
      <c r="A86" s="123">
        <f>[1]預算內選單資料來源!A86</f>
        <v/>
      </c>
      <c r="B86" s="260">
        <f>[1]預算內選單資料來源!B86</f>
        <v/>
      </c>
      <c r="C86" s="260">
        <f>[1]預算內選單資料來源!C86</f>
        <v/>
      </c>
      <c r="D86" s="260">
        <f>[1]預算內選單資料來源!D86</f>
        <v/>
      </c>
      <c r="E86" s="260">
        <f>[1]預算內選單資料來源!E86</f>
        <v/>
      </c>
      <c r="F86" s="260">
        <f>[1]預算內選單資料來源!F86</f>
        <v/>
      </c>
      <c r="G86" s="260">
        <f>[1]預算內選單資料來源!G86</f>
        <v/>
      </c>
      <c r="H86" s="260">
        <f>[1]預算內選單資料來源!H86</f>
        <v/>
      </c>
      <c r="I86" s="260">
        <f>[1]預算內選單資料來源!I86</f>
        <v/>
      </c>
      <c r="J86" s="260">
        <f>[1]預算內選單資料來源!J86</f>
        <v/>
      </c>
      <c r="K86" s="260">
        <f>[1]預算內選單資料來源!K86</f>
        <v/>
      </c>
      <c r="L86" s="260">
        <f>[1]預算內選單資料來源!L86</f>
        <v/>
      </c>
    </row>
    <row r="87" ht="16.5" customHeight="1" s="124">
      <c r="A87" s="123">
        <f>[1]預算內選單資料來源!A87</f>
        <v/>
      </c>
      <c r="B87" s="260">
        <f>[1]預算內選單資料來源!B87</f>
        <v/>
      </c>
      <c r="C87" s="260">
        <f>[1]預算內選單資料來源!C87</f>
        <v/>
      </c>
      <c r="D87" s="260">
        <f>[1]預算內選單資料來源!D87</f>
        <v/>
      </c>
      <c r="E87" s="260">
        <f>[1]預算內選單資料來源!E87</f>
        <v/>
      </c>
      <c r="F87" s="260">
        <f>[1]預算內選單資料來源!F87</f>
        <v/>
      </c>
      <c r="G87" s="260">
        <f>[1]預算內選單資料來源!G87</f>
        <v/>
      </c>
      <c r="H87" s="260">
        <f>[1]預算內選單資料來源!H87</f>
        <v/>
      </c>
      <c r="I87" s="260">
        <f>[1]預算內選單資料來源!I87</f>
        <v/>
      </c>
      <c r="J87" s="260">
        <f>[1]預算內選單資料來源!J87</f>
        <v/>
      </c>
      <c r="K87" s="260">
        <f>[1]預算內選單資料來源!K87</f>
        <v/>
      </c>
      <c r="L87" s="260">
        <f>[1]預算內選單資料來源!L87</f>
        <v/>
      </c>
    </row>
    <row r="88" ht="16.5" customHeight="1" s="124">
      <c r="A88" s="123">
        <f>[1]預算內選單資料來源!A88</f>
        <v/>
      </c>
      <c r="B88" s="260">
        <f>[1]預算內選單資料來源!B88</f>
        <v/>
      </c>
      <c r="C88" s="260">
        <f>[1]預算內選單資料來源!C88</f>
        <v/>
      </c>
      <c r="D88" s="260">
        <f>[1]預算內選單資料來源!D88</f>
        <v/>
      </c>
      <c r="E88" s="260">
        <f>[1]預算內選單資料來源!E88</f>
        <v/>
      </c>
      <c r="F88" s="260">
        <f>[1]預算內選單資料來源!F88</f>
        <v/>
      </c>
      <c r="G88" s="260">
        <f>[1]預算內選單資料來源!G88</f>
        <v/>
      </c>
      <c r="H88" s="260">
        <f>[1]預算內選單資料來源!H88</f>
        <v/>
      </c>
      <c r="I88" s="260">
        <f>[1]預算內選單資料來源!I88</f>
        <v/>
      </c>
      <c r="J88" s="260">
        <f>[1]預算內選單資料來源!J88</f>
        <v/>
      </c>
      <c r="K88" s="260">
        <f>[1]預算內選單資料來源!K88</f>
        <v/>
      </c>
      <c r="L88" s="260">
        <f>[1]預算內選單資料來源!L88</f>
        <v/>
      </c>
    </row>
    <row r="89" ht="16.5" customHeight="1" s="124">
      <c r="A89" s="123">
        <f>[1]預算內選單資料來源!A89</f>
        <v/>
      </c>
      <c r="B89" s="260">
        <f>[1]預算內選單資料來源!B89</f>
        <v/>
      </c>
      <c r="C89" s="260">
        <f>[1]預算內選單資料來源!C89</f>
        <v/>
      </c>
      <c r="D89" s="260">
        <f>[1]預算內選單資料來源!D89</f>
        <v/>
      </c>
      <c r="E89" s="260">
        <f>[1]預算內選單資料來源!E89</f>
        <v/>
      </c>
      <c r="F89" s="260">
        <f>[1]預算內選單資料來源!F89</f>
        <v/>
      </c>
      <c r="G89" s="260">
        <f>[1]預算內選單資料來源!G89</f>
        <v/>
      </c>
      <c r="H89" s="260">
        <f>[1]預算內選單資料來源!H89</f>
        <v/>
      </c>
      <c r="I89" s="260">
        <f>[1]預算內選單資料來源!I89</f>
        <v/>
      </c>
      <c r="J89" s="260">
        <f>[1]預算內選單資料來源!J89</f>
        <v/>
      </c>
      <c r="K89" s="260">
        <f>[1]預算內選單資料來源!K89</f>
        <v/>
      </c>
      <c r="L89" s="260">
        <f>[1]預算內選單資料來源!L89</f>
        <v/>
      </c>
    </row>
    <row r="90" ht="16.5" customHeight="1" s="124">
      <c r="A90" s="123">
        <f>[1]預算內選單資料來源!A90</f>
        <v/>
      </c>
      <c r="B90" s="260">
        <f>[1]預算內選單資料來源!B90</f>
        <v/>
      </c>
      <c r="C90" s="260">
        <f>[1]預算內選單資料來源!C90</f>
        <v/>
      </c>
      <c r="D90" s="260">
        <f>[1]預算內選單資料來源!D90</f>
        <v/>
      </c>
      <c r="E90" s="260">
        <f>[1]預算內選單資料來源!E90</f>
        <v/>
      </c>
      <c r="F90" s="260">
        <f>[1]預算內選單資料來源!F90</f>
        <v/>
      </c>
      <c r="G90" s="260">
        <f>[1]預算內選單資料來源!G90</f>
        <v/>
      </c>
      <c r="H90" s="260">
        <f>[1]預算內選單資料來源!H90</f>
        <v/>
      </c>
      <c r="I90" s="260">
        <f>[1]預算內選單資料來源!I90</f>
        <v/>
      </c>
      <c r="J90" s="260">
        <f>[1]預算內選單資料來源!J90</f>
        <v/>
      </c>
      <c r="K90" s="260">
        <f>[1]預算內選單資料來源!K90</f>
        <v/>
      </c>
      <c r="L90" s="260">
        <f>[1]預算內選單資料來源!L90</f>
        <v/>
      </c>
    </row>
    <row r="91" ht="16.5" customHeight="1" s="124">
      <c r="A91" s="123">
        <f>[1]預算內選單資料來源!A91</f>
        <v/>
      </c>
      <c r="B91" s="260">
        <f>[1]預算內選單資料來源!B91</f>
        <v/>
      </c>
      <c r="C91" s="260">
        <f>[1]預算內選單資料來源!C91</f>
        <v/>
      </c>
      <c r="D91" s="260">
        <f>[1]預算內選單資料來源!D91</f>
        <v/>
      </c>
      <c r="E91" s="260">
        <f>[1]預算內選單資料來源!E91</f>
        <v/>
      </c>
      <c r="F91" s="260">
        <f>[1]預算內選單資料來源!F91</f>
        <v/>
      </c>
      <c r="G91" s="260">
        <f>[1]預算內選單資料來源!G91</f>
        <v/>
      </c>
      <c r="H91" s="260">
        <f>[1]預算內選單資料來源!H91</f>
        <v/>
      </c>
      <c r="I91" s="260">
        <f>[1]預算內選單資料來源!I91</f>
        <v/>
      </c>
      <c r="J91" s="260">
        <f>[1]預算內選單資料來源!J91</f>
        <v/>
      </c>
      <c r="K91" s="260">
        <f>[1]預算內選單資料來源!K91</f>
        <v/>
      </c>
      <c r="L91" s="260">
        <f>[1]預算內選單資料來源!L91</f>
        <v/>
      </c>
    </row>
    <row r="92" ht="16.5" customHeight="1" s="124">
      <c r="A92" s="123">
        <f>[1]預算內選單資料來源!A92</f>
        <v/>
      </c>
      <c r="B92" s="260">
        <f>[1]預算內選單資料來源!B92</f>
        <v/>
      </c>
      <c r="C92" s="260">
        <f>[1]預算內選單資料來源!C92</f>
        <v/>
      </c>
      <c r="D92" s="260">
        <f>[1]預算內選單資料來源!D92</f>
        <v/>
      </c>
      <c r="E92" s="260">
        <f>[1]預算內選單資料來源!E92</f>
        <v/>
      </c>
      <c r="F92" s="260">
        <f>[1]預算內選單資料來源!F92</f>
        <v/>
      </c>
      <c r="G92" s="260">
        <f>[1]預算內選單資料來源!G92</f>
        <v/>
      </c>
      <c r="H92" s="260">
        <f>[1]預算內選單資料來源!H92</f>
        <v/>
      </c>
      <c r="I92" s="260">
        <f>[1]預算內選單資料來源!I92</f>
        <v/>
      </c>
      <c r="J92" s="260">
        <f>[1]預算內選單資料來源!J92</f>
        <v/>
      </c>
      <c r="K92" s="260">
        <f>[1]預算內選單資料來源!K92</f>
        <v/>
      </c>
      <c r="L92" s="260">
        <f>[1]預算內選單資料來源!L92</f>
        <v/>
      </c>
    </row>
    <row r="93" ht="16.5" customHeight="1" s="124">
      <c r="A93" s="123">
        <f>[1]預算內選單資料來源!A93</f>
        <v/>
      </c>
      <c r="B93" s="260">
        <f>[1]預算內選單資料來源!B93</f>
        <v/>
      </c>
      <c r="C93" s="260">
        <f>[1]預算內選單資料來源!C93</f>
        <v/>
      </c>
      <c r="D93" s="260">
        <f>[1]預算內選單資料來源!D93</f>
        <v/>
      </c>
      <c r="E93" s="260">
        <f>[1]預算內選單資料來源!E93</f>
        <v/>
      </c>
      <c r="F93" s="260">
        <f>[1]預算內選單資料來源!F93</f>
        <v/>
      </c>
      <c r="G93" s="260">
        <f>[1]預算內選單資料來源!G93</f>
        <v/>
      </c>
      <c r="H93" s="260">
        <f>[1]預算內選單資料來源!H93</f>
        <v/>
      </c>
      <c r="I93" s="260">
        <f>[1]預算內選單資料來源!I93</f>
        <v/>
      </c>
      <c r="J93" s="260">
        <f>[1]預算內選單資料來源!J93</f>
        <v/>
      </c>
      <c r="K93" s="260">
        <f>[1]預算內選單資料來源!K93</f>
        <v/>
      </c>
      <c r="L93" s="260">
        <f>[1]預算內選單資料來源!L93</f>
        <v/>
      </c>
    </row>
    <row r="94" ht="16.5" customHeight="1" s="124">
      <c r="A94" s="123">
        <f>[1]預算內選單資料來源!A94</f>
        <v/>
      </c>
      <c r="B94" s="260">
        <f>[1]預算內選單資料來源!B94</f>
        <v/>
      </c>
      <c r="C94" s="260">
        <f>[1]預算內選單資料來源!C94</f>
        <v/>
      </c>
      <c r="D94" s="260">
        <f>[1]預算內選單資料來源!D94</f>
        <v/>
      </c>
      <c r="E94" s="260">
        <f>[1]預算內選單資料來源!E94</f>
        <v/>
      </c>
      <c r="F94" s="260">
        <f>[1]預算內選單資料來源!F94</f>
        <v/>
      </c>
      <c r="G94" s="260">
        <f>[1]預算內選單資料來源!G94</f>
        <v/>
      </c>
      <c r="H94" s="260">
        <f>[1]預算內選單資料來源!H94</f>
        <v/>
      </c>
      <c r="I94" s="260">
        <f>[1]預算內選單資料來源!I94</f>
        <v/>
      </c>
      <c r="J94" s="260">
        <f>[1]預算內選單資料來源!J94</f>
        <v/>
      </c>
      <c r="K94" s="260">
        <f>[1]預算內選單資料來源!K94</f>
        <v/>
      </c>
      <c r="L94" s="260">
        <f>[1]預算內選單資料來源!L94</f>
        <v/>
      </c>
    </row>
    <row r="95" ht="16.5" customHeight="1" s="124">
      <c r="A95" s="123">
        <f>[1]預算內選單資料來源!A95</f>
        <v/>
      </c>
      <c r="B95" s="260">
        <f>[1]預算內選單資料來源!B95</f>
        <v/>
      </c>
      <c r="C95" s="260">
        <f>[1]預算內選單資料來源!C95</f>
        <v/>
      </c>
      <c r="D95" s="260">
        <f>[1]預算內選單資料來源!D95</f>
        <v/>
      </c>
      <c r="E95" s="260">
        <f>[1]預算內選單資料來源!E95</f>
        <v/>
      </c>
      <c r="F95" s="260">
        <f>[1]預算內選單資料來源!F95</f>
        <v/>
      </c>
      <c r="G95" s="260">
        <f>[1]預算內選單資料來源!G95</f>
        <v/>
      </c>
      <c r="H95" s="260">
        <f>[1]預算內選單資料來源!H95</f>
        <v/>
      </c>
      <c r="I95" s="260">
        <f>[1]預算內選單資料來源!I95</f>
        <v/>
      </c>
      <c r="J95" s="260">
        <f>[1]預算內選單資料來源!J95</f>
        <v/>
      </c>
      <c r="K95" s="260">
        <f>[1]預算內選單資料來源!K95</f>
        <v/>
      </c>
      <c r="L95" s="260">
        <f>[1]預算內選單資料來源!L95</f>
        <v/>
      </c>
    </row>
    <row r="96" ht="16.5" customHeight="1" s="124">
      <c r="A96" s="123">
        <f>[1]預算內選單資料來源!A96</f>
        <v/>
      </c>
      <c r="B96" s="260">
        <f>[1]預算內選單資料來源!B96</f>
        <v/>
      </c>
      <c r="C96" s="260">
        <f>[1]預算內選單資料來源!C96</f>
        <v/>
      </c>
      <c r="D96" s="260">
        <f>[1]預算內選單資料來源!D96</f>
        <v/>
      </c>
      <c r="E96" s="260">
        <f>[1]預算內選單資料來源!E96</f>
        <v/>
      </c>
      <c r="F96" s="260">
        <f>[1]預算內選單資料來源!F96</f>
        <v/>
      </c>
      <c r="G96" s="260">
        <f>[1]預算內選單資料來源!G96</f>
        <v/>
      </c>
      <c r="H96" s="260">
        <f>[1]預算內選單資料來源!H96</f>
        <v/>
      </c>
      <c r="I96" s="260">
        <f>[1]預算內選單資料來源!I96</f>
        <v/>
      </c>
      <c r="J96" s="260">
        <f>[1]預算內選單資料來源!J96</f>
        <v/>
      </c>
      <c r="K96" s="260">
        <f>[1]預算內選單資料來源!K96</f>
        <v/>
      </c>
      <c r="L96" s="260">
        <f>[1]預算內選單資料來源!L96</f>
        <v/>
      </c>
    </row>
    <row r="97" ht="16.5" customHeight="1" s="124">
      <c r="A97" s="123">
        <f>[1]預算內選單資料來源!A97</f>
        <v/>
      </c>
      <c r="B97" s="260">
        <f>[1]預算內選單資料來源!B97</f>
        <v/>
      </c>
      <c r="C97" s="260">
        <f>[1]預算內選單資料來源!C97</f>
        <v/>
      </c>
      <c r="D97" s="260">
        <f>[1]預算內選單資料來源!D97</f>
        <v/>
      </c>
      <c r="E97" s="260">
        <f>[1]預算內選單資料來源!E97</f>
        <v/>
      </c>
      <c r="F97" s="260">
        <f>[1]預算內選單資料來源!F97</f>
        <v/>
      </c>
      <c r="G97" s="260">
        <f>[1]預算內選單資料來源!G97</f>
        <v/>
      </c>
      <c r="H97" s="260">
        <f>[1]預算內選單資料來源!H97</f>
        <v/>
      </c>
      <c r="I97" s="260">
        <f>[1]預算內選單資料來源!I97</f>
        <v/>
      </c>
      <c r="J97" s="260">
        <f>[1]預算內選單資料來源!J97</f>
        <v/>
      </c>
      <c r="K97" s="260">
        <f>[1]預算內選單資料來源!K97</f>
        <v/>
      </c>
      <c r="L97" s="260">
        <f>[1]預算內選單資料來源!L97</f>
        <v/>
      </c>
    </row>
    <row r="98" ht="16.5" customHeight="1" s="124">
      <c r="A98" s="123">
        <f>[1]預算內選單資料來源!A98</f>
        <v/>
      </c>
      <c r="B98" s="260">
        <f>[1]預算內選單資料來源!B98</f>
        <v/>
      </c>
      <c r="C98" s="260">
        <f>[1]預算內選單資料來源!C98</f>
        <v/>
      </c>
      <c r="D98" s="260">
        <f>[1]預算內選單資料來源!D98</f>
        <v/>
      </c>
      <c r="E98" s="260">
        <f>[1]預算內選單資料來源!E98</f>
        <v/>
      </c>
      <c r="F98" s="260">
        <f>[1]預算內選單資料來源!F98</f>
        <v/>
      </c>
      <c r="G98" s="260">
        <f>[1]預算內選單資料來源!G98</f>
        <v/>
      </c>
      <c r="H98" s="260">
        <f>[1]預算內選單資料來源!H98</f>
        <v/>
      </c>
      <c r="I98" s="260">
        <f>[1]預算內選單資料來源!I98</f>
        <v/>
      </c>
      <c r="J98" s="260">
        <f>[1]預算內選單資料來源!J98</f>
        <v/>
      </c>
      <c r="K98" s="260">
        <f>[1]預算內選單資料來源!K98</f>
        <v/>
      </c>
      <c r="L98" s="260">
        <f>[1]預算內選單資料來源!L98</f>
        <v/>
      </c>
    </row>
    <row r="99" ht="16.5" customHeight="1" s="124">
      <c r="A99" s="123">
        <f>[1]預算內選單資料來源!A99</f>
        <v/>
      </c>
      <c r="B99" s="260">
        <f>[1]預算內選單資料來源!B99</f>
        <v/>
      </c>
      <c r="C99" s="260">
        <f>[1]預算內選單資料來源!C99</f>
        <v/>
      </c>
      <c r="D99" s="260">
        <f>[1]預算內選單資料來源!D99</f>
        <v/>
      </c>
      <c r="E99" s="260">
        <f>[1]預算內選單資料來源!E99</f>
        <v/>
      </c>
      <c r="F99" s="260">
        <f>[1]預算內選單資料來源!F99</f>
        <v/>
      </c>
      <c r="G99" s="260">
        <f>[1]預算內選單資料來源!G99</f>
        <v/>
      </c>
      <c r="H99" s="260">
        <f>[1]預算內選單資料來源!H99</f>
        <v/>
      </c>
      <c r="I99" s="260">
        <f>[1]預算內選單資料來源!I99</f>
        <v/>
      </c>
      <c r="J99" s="260">
        <f>[1]預算內選單資料來源!J99</f>
        <v/>
      </c>
      <c r="K99" s="260">
        <f>[1]預算內選單資料來源!K99</f>
        <v/>
      </c>
      <c r="L99" s="260">
        <f>[1]預算內選單資料來源!L99</f>
        <v/>
      </c>
    </row>
    <row r="100" ht="16.5" customHeight="1" s="124">
      <c r="A100" s="123">
        <f>[1]預算內選單資料來源!A100</f>
        <v/>
      </c>
      <c r="B100" s="260">
        <f>[1]預算內選單資料來源!B100</f>
        <v/>
      </c>
      <c r="C100" s="260">
        <f>[1]預算內選單資料來源!C100</f>
        <v/>
      </c>
      <c r="D100" s="260">
        <f>[1]預算內選單資料來源!D100</f>
        <v/>
      </c>
      <c r="E100" s="260">
        <f>[1]預算內選單資料來源!E100</f>
        <v/>
      </c>
      <c r="F100" s="260">
        <f>[1]預算內選單資料來源!F100</f>
        <v/>
      </c>
      <c r="G100" s="260">
        <f>[1]預算內選單資料來源!G100</f>
        <v/>
      </c>
      <c r="H100" s="260">
        <f>[1]預算內選單資料來源!H100</f>
        <v/>
      </c>
      <c r="I100" s="260">
        <f>[1]預算內選單資料來源!I100</f>
        <v/>
      </c>
      <c r="J100" s="260">
        <f>[1]預算內選單資料來源!J100</f>
        <v/>
      </c>
      <c r="K100" s="260">
        <f>[1]預算內選單資料來源!K100</f>
        <v/>
      </c>
      <c r="L100" s="260">
        <f>[1]預算內選單資料來源!L100</f>
        <v/>
      </c>
    </row>
    <row r="101" ht="16.5" customHeight="1" s="124">
      <c r="A101" s="123">
        <f>[1]預算內選單資料來源!A101</f>
        <v/>
      </c>
      <c r="B101" s="260">
        <f>[1]預算內選單資料來源!B101</f>
        <v/>
      </c>
      <c r="C101" s="260">
        <f>[1]預算內選單資料來源!C101</f>
        <v/>
      </c>
      <c r="D101" s="260">
        <f>[1]預算內選單資料來源!D101</f>
        <v/>
      </c>
      <c r="E101" s="260">
        <f>[1]預算內選單資料來源!E101</f>
        <v/>
      </c>
      <c r="F101" s="260">
        <f>[1]預算內選單資料來源!F101</f>
        <v/>
      </c>
      <c r="G101" s="260">
        <f>[1]預算內選單資料來源!G101</f>
        <v/>
      </c>
      <c r="H101" s="260">
        <f>[1]預算內選單資料來源!H101</f>
        <v/>
      </c>
      <c r="I101" s="260">
        <f>[1]預算內選單資料來源!I101</f>
        <v/>
      </c>
      <c r="J101" s="260">
        <f>[1]預算內選單資料來源!J101</f>
        <v/>
      </c>
      <c r="K101" s="260">
        <f>[1]預算內選單資料來源!K101</f>
        <v/>
      </c>
      <c r="L101" s="260">
        <f>[1]預算內選單資料來源!L101</f>
        <v/>
      </c>
    </row>
    <row r="102" ht="16.5" customHeight="1" s="124">
      <c r="A102" s="123">
        <f>[1]預算內選單資料來源!A102</f>
        <v/>
      </c>
      <c r="B102" s="260">
        <f>[1]預算內選單資料來源!B102</f>
        <v/>
      </c>
      <c r="C102" s="260">
        <f>[1]預算內選單資料來源!C102</f>
        <v/>
      </c>
      <c r="D102" s="260">
        <f>[1]預算內選單資料來源!D102</f>
        <v/>
      </c>
      <c r="E102" s="260">
        <f>[1]預算內選單資料來源!E102</f>
        <v/>
      </c>
      <c r="F102" s="260">
        <f>[1]預算內選單資料來源!F102</f>
        <v/>
      </c>
      <c r="G102" s="260">
        <f>[1]預算內選單資料來源!G102</f>
        <v/>
      </c>
      <c r="H102" s="260">
        <f>[1]預算內選單資料來源!H102</f>
        <v/>
      </c>
      <c r="I102" s="260">
        <f>[1]預算內選單資料來源!I102</f>
        <v/>
      </c>
      <c r="J102" s="260">
        <f>[1]預算內選單資料來源!J102</f>
        <v/>
      </c>
      <c r="K102" s="260">
        <f>[1]預算內選單資料來源!K102</f>
        <v/>
      </c>
      <c r="L102" s="260">
        <f>[1]預算內選單資料來源!L102</f>
        <v/>
      </c>
    </row>
    <row r="103" ht="16.5" customHeight="1" s="124">
      <c r="A103" s="123">
        <f>[1]預算內選單資料來源!A103</f>
        <v/>
      </c>
      <c r="B103" s="260">
        <f>[1]預算內選單資料來源!B103</f>
        <v/>
      </c>
      <c r="C103" s="260">
        <f>[1]預算內選單資料來源!C103</f>
        <v/>
      </c>
      <c r="D103" s="260">
        <f>[1]預算內選單資料來源!D103</f>
        <v/>
      </c>
      <c r="E103" s="260">
        <f>[1]預算內選單資料來源!E103</f>
        <v/>
      </c>
      <c r="F103" s="260">
        <f>[1]預算內選單資料來源!F103</f>
        <v/>
      </c>
      <c r="G103" s="260">
        <f>[1]預算內選單資料來源!G103</f>
        <v/>
      </c>
      <c r="H103" s="260">
        <f>[1]預算內選單資料來源!H103</f>
        <v/>
      </c>
      <c r="I103" s="260">
        <f>[1]預算內選單資料來源!I103</f>
        <v/>
      </c>
      <c r="J103" s="260">
        <f>[1]預算內選單資料來源!J103</f>
        <v/>
      </c>
      <c r="K103" s="260">
        <f>[1]預算內選單資料來源!K103</f>
        <v/>
      </c>
      <c r="L103" s="260">
        <f>[1]預算內選單資料來源!L103</f>
        <v/>
      </c>
    </row>
    <row r="104" ht="16.5" customHeight="1" s="124">
      <c r="A104" s="123">
        <f>[1]預算內選單資料來源!A104</f>
        <v/>
      </c>
      <c r="B104" s="260">
        <f>[1]預算內選單資料來源!B104</f>
        <v/>
      </c>
      <c r="C104" s="260">
        <f>[1]預算內選單資料來源!C104</f>
        <v/>
      </c>
      <c r="D104" s="260">
        <f>[1]預算內選單資料來源!D104</f>
        <v/>
      </c>
      <c r="E104" s="260">
        <f>[1]預算內選單資料來源!E104</f>
        <v/>
      </c>
      <c r="F104" s="260">
        <f>[1]預算內選單資料來源!F104</f>
        <v/>
      </c>
      <c r="G104" s="260">
        <f>[1]預算內選單資料來源!G104</f>
        <v/>
      </c>
      <c r="H104" s="260">
        <f>[1]預算內選單資料來源!H104</f>
        <v/>
      </c>
      <c r="I104" s="260">
        <f>[1]預算內選單資料來源!I104</f>
        <v/>
      </c>
      <c r="J104" s="260">
        <f>[1]預算內選單資料來源!J104</f>
        <v/>
      </c>
      <c r="K104" s="260">
        <f>[1]預算內選單資料來源!K104</f>
        <v/>
      </c>
      <c r="L104" s="260">
        <f>[1]預算內選單資料來源!L104</f>
        <v/>
      </c>
    </row>
    <row r="105" ht="16.5" customHeight="1" s="124">
      <c r="A105" s="123">
        <f>[1]預算內選單資料來源!A105</f>
        <v/>
      </c>
      <c r="B105" s="260">
        <f>[1]預算內選單資料來源!B105</f>
        <v/>
      </c>
      <c r="C105" s="260">
        <f>[1]預算內選單資料來源!C105</f>
        <v/>
      </c>
      <c r="D105" s="260">
        <f>[1]預算內選單資料來源!D105</f>
        <v/>
      </c>
      <c r="E105" s="260">
        <f>[1]預算內選單資料來源!E105</f>
        <v/>
      </c>
      <c r="F105" s="260">
        <f>[1]預算內選單資料來源!F105</f>
        <v/>
      </c>
      <c r="G105" s="260">
        <f>[1]預算內選單資料來源!G105</f>
        <v/>
      </c>
      <c r="H105" s="260">
        <f>[1]預算內選單資料來源!H105</f>
        <v/>
      </c>
      <c r="I105" s="260">
        <f>[1]預算內選單資料來源!I105</f>
        <v/>
      </c>
      <c r="J105" s="260">
        <f>[1]預算內選單資料來源!J105</f>
        <v/>
      </c>
      <c r="K105" s="260">
        <f>[1]預算內選單資料來源!K105</f>
        <v/>
      </c>
      <c r="L105" s="260">
        <f>[1]預算內選單資料來源!L105</f>
        <v/>
      </c>
    </row>
    <row r="106" ht="16.5" customHeight="1" s="124">
      <c r="A106" s="123">
        <f>[1]預算內選單資料來源!A106</f>
        <v/>
      </c>
      <c r="B106" s="260">
        <f>[1]預算內選單資料來源!B106</f>
        <v/>
      </c>
      <c r="C106" s="260">
        <f>[1]預算內選單資料來源!C106</f>
        <v/>
      </c>
      <c r="D106" s="260">
        <f>[1]預算內選單資料來源!D106</f>
        <v/>
      </c>
      <c r="E106" s="260">
        <f>[1]預算內選單資料來源!E106</f>
        <v/>
      </c>
      <c r="F106" s="260">
        <f>[1]預算內選單資料來源!F106</f>
        <v/>
      </c>
      <c r="G106" s="260">
        <f>[1]預算內選單資料來源!G106</f>
        <v/>
      </c>
      <c r="H106" s="260">
        <f>[1]預算內選單資料來源!H106</f>
        <v/>
      </c>
      <c r="I106" s="260">
        <f>[1]預算內選單資料來源!I106</f>
        <v/>
      </c>
      <c r="J106" s="260">
        <f>[1]預算內選單資料來源!J106</f>
        <v/>
      </c>
      <c r="K106" s="260">
        <f>[1]預算內選單資料來源!K106</f>
        <v/>
      </c>
      <c r="L106" s="260">
        <f>[1]預算內選單資料來源!L106</f>
        <v/>
      </c>
    </row>
    <row r="107" ht="16.5" customHeight="1" s="124">
      <c r="A107" s="123">
        <f>[1]預算內選單資料來源!A107</f>
        <v/>
      </c>
      <c r="B107" s="260">
        <f>[1]預算內選單資料來源!B107</f>
        <v/>
      </c>
      <c r="C107" s="260">
        <f>[1]預算內選單資料來源!C107</f>
        <v/>
      </c>
      <c r="D107" s="260">
        <f>[1]預算內選單資料來源!D107</f>
        <v/>
      </c>
      <c r="E107" s="260">
        <f>[1]預算內選單資料來源!E107</f>
        <v/>
      </c>
      <c r="F107" s="260">
        <f>[1]預算內選單資料來源!F107</f>
        <v/>
      </c>
      <c r="G107" s="260">
        <f>[1]預算內選單資料來源!G107</f>
        <v/>
      </c>
      <c r="H107" s="260">
        <f>[1]預算內選單資料來源!H107</f>
        <v/>
      </c>
      <c r="I107" s="260">
        <f>[1]預算內選單資料來源!I107</f>
        <v/>
      </c>
      <c r="J107" s="260">
        <f>[1]預算內選單資料來源!J107</f>
        <v/>
      </c>
      <c r="K107" s="260">
        <f>[1]預算內選單資料來源!K107</f>
        <v/>
      </c>
      <c r="L107" s="260">
        <f>[1]預算內選單資料來源!L107</f>
        <v/>
      </c>
    </row>
    <row r="108" ht="16.5" customHeight="1" s="124">
      <c r="A108" s="123">
        <f>[1]預算內選單資料來源!A108</f>
        <v/>
      </c>
      <c r="B108" s="260">
        <f>[1]預算內選單資料來源!B108</f>
        <v/>
      </c>
      <c r="C108" s="260">
        <f>[1]預算內選單資料來源!C108</f>
        <v/>
      </c>
      <c r="D108" s="260">
        <f>[1]預算內選單資料來源!D108</f>
        <v/>
      </c>
      <c r="E108" s="260">
        <f>[1]預算內選單資料來源!E108</f>
        <v/>
      </c>
      <c r="F108" s="260">
        <f>[1]預算內選單資料來源!F108</f>
        <v/>
      </c>
      <c r="G108" s="260">
        <f>[1]預算內選單資料來源!G108</f>
        <v/>
      </c>
      <c r="H108" s="260">
        <f>[1]預算內選單資料來源!H108</f>
        <v/>
      </c>
      <c r="I108" s="260">
        <f>[1]預算內選單資料來源!I108</f>
        <v/>
      </c>
      <c r="J108" s="260">
        <f>[1]預算內選單資料來源!J108</f>
        <v/>
      </c>
      <c r="K108" s="260">
        <f>[1]預算內選單資料來源!K108</f>
        <v/>
      </c>
      <c r="L108" s="260">
        <f>[1]預算內選單資料來源!L108</f>
        <v/>
      </c>
    </row>
    <row r="109" ht="16.5" customHeight="1" s="124">
      <c r="A109" s="123">
        <f>[1]預算內選單資料來源!A109</f>
        <v/>
      </c>
      <c r="B109" s="260">
        <f>[1]預算內選單資料來源!B109</f>
        <v/>
      </c>
      <c r="C109" s="260">
        <f>[1]預算內選單資料來源!C109</f>
        <v/>
      </c>
      <c r="D109" s="260">
        <f>[1]預算內選單資料來源!D109</f>
        <v/>
      </c>
      <c r="E109" s="260">
        <f>[1]預算內選單資料來源!E109</f>
        <v/>
      </c>
      <c r="F109" s="260">
        <f>[1]預算內選單資料來源!F109</f>
        <v/>
      </c>
      <c r="G109" s="260">
        <f>[1]預算內選單資料來源!G109</f>
        <v/>
      </c>
      <c r="H109" s="260">
        <f>[1]預算內選單資料來源!H109</f>
        <v/>
      </c>
      <c r="I109" s="260">
        <f>[1]預算內選單資料來源!I109</f>
        <v/>
      </c>
      <c r="J109" s="260">
        <f>[1]預算內選單資料來源!J109</f>
        <v/>
      </c>
      <c r="K109" s="260">
        <f>[1]預算內選單資料來源!K109</f>
        <v/>
      </c>
      <c r="L109" s="260">
        <f>[1]預算內選單資料來源!L109</f>
        <v/>
      </c>
    </row>
    <row r="110" ht="16.5" customHeight="1" s="124">
      <c r="A110" s="123">
        <f>[1]預算內選單資料來源!A110</f>
        <v/>
      </c>
      <c r="B110" s="260">
        <f>[1]預算內選單資料來源!B110</f>
        <v/>
      </c>
      <c r="C110" s="260">
        <f>[1]預算內選單資料來源!C110</f>
        <v/>
      </c>
      <c r="D110" s="260">
        <f>[1]預算內選單資料來源!D110</f>
        <v/>
      </c>
      <c r="E110" s="260">
        <f>[1]預算內選單資料來源!E110</f>
        <v/>
      </c>
      <c r="F110" s="260">
        <f>[1]預算內選單資料來源!F110</f>
        <v/>
      </c>
      <c r="G110" s="260">
        <f>[1]預算內選單資料來源!G110</f>
        <v/>
      </c>
      <c r="H110" s="260">
        <f>[1]預算內選單資料來源!H110</f>
        <v/>
      </c>
      <c r="I110" s="260">
        <f>[1]預算內選單資料來源!I110</f>
        <v/>
      </c>
      <c r="J110" s="260">
        <f>[1]預算內選單資料來源!J110</f>
        <v/>
      </c>
      <c r="K110" s="260">
        <f>[1]預算內選單資料來源!K110</f>
        <v/>
      </c>
      <c r="L110" s="260">
        <f>[1]預算內選單資料來源!L110</f>
        <v/>
      </c>
    </row>
    <row r="111" ht="16.5" customHeight="1" s="124">
      <c r="A111" s="123">
        <f>[1]預算內選單資料來源!A111</f>
        <v/>
      </c>
      <c r="B111" s="260">
        <f>[1]預算內選單資料來源!B111</f>
        <v/>
      </c>
      <c r="C111" s="260">
        <f>[1]預算內選單資料來源!C111</f>
        <v/>
      </c>
      <c r="D111" s="260">
        <f>[1]預算內選單資料來源!D111</f>
        <v/>
      </c>
      <c r="E111" s="260">
        <f>[1]預算內選單資料來源!E111</f>
        <v/>
      </c>
      <c r="F111" s="260">
        <f>[1]預算內選單資料來源!F111</f>
        <v/>
      </c>
      <c r="G111" s="260">
        <f>[1]預算內選單資料來源!G111</f>
        <v/>
      </c>
      <c r="H111" s="260">
        <f>[1]預算內選單資料來源!H111</f>
        <v/>
      </c>
      <c r="I111" s="260">
        <f>[1]預算內選單資料來源!I111</f>
        <v/>
      </c>
      <c r="J111" s="260">
        <f>[1]預算內選單資料來源!J111</f>
        <v/>
      </c>
      <c r="K111" s="260">
        <f>[1]預算內選單資料來源!K111</f>
        <v/>
      </c>
      <c r="L111" s="260">
        <f>[1]預算內選單資料來源!L111</f>
        <v/>
      </c>
    </row>
    <row r="112" ht="16.5" customHeight="1" s="124">
      <c r="A112" s="123">
        <f>[1]預算內選單資料來源!A112</f>
        <v/>
      </c>
      <c r="B112" s="260">
        <f>[1]預算內選單資料來源!B112</f>
        <v/>
      </c>
      <c r="C112" s="260">
        <f>[1]預算內選單資料來源!C112</f>
        <v/>
      </c>
      <c r="D112" s="260">
        <f>[1]預算內選單資料來源!D112</f>
        <v/>
      </c>
      <c r="E112" s="260">
        <f>[1]預算內選單資料來源!E112</f>
        <v/>
      </c>
      <c r="F112" s="260">
        <f>[1]預算內選單資料來源!F112</f>
        <v/>
      </c>
      <c r="G112" s="260">
        <f>[1]預算內選單資料來源!G112</f>
        <v/>
      </c>
      <c r="H112" s="260">
        <f>[1]預算內選單資料來源!H112</f>
        <v/>
      </c>
      <c r="I112" s="260">
        <f>[1]預算內選單資料來源!I112</f>
        <v/>
      </c>
      <c r="J112" s="260">
        <f>[1]預算內選單資料來源!J112</f>
        <v/>
      </c>
      <c r="K112" s="260">
        <f>[1]預算內選單資料來源!K112</f>
        <v/>
      </c>
      <c r="L112" s="260">
        <f>[1]預算內選單資料來源!L112</f>
        <v/>
      </c>
    </row>
    <row r="113" ht="16.5" customHeight="1" s="124">
      <c r="A113" s="123">
        <f>[1]預算內選單資料來源!A113</f>
        <v/>
      </c>
      <c r="B113" s="260">
        <f>[1]預算內選單資料來源!B113</f>
        <v/>
      </c>
      <c r="C113" s="260">
        <f>[1]預算內選單資料來源!C113</f>
        <v/>
      </c>
      <c r="D113" s="260">
        <f>[1]預算內選單資料來源!D113</f>
        <v/>
      </c>
      <c r="E113" s="260">
        <f>[1]預算內選單資料來源!E113</f>
        <v/>
      </c>
      <c r="F113" s="260">
        <f>[1]預算內選單資料來源!F113</f>
        <v/>
      </c>
      <c r="G113" s="260">
        <f>[1]預算內選單資料來源!G113</f>
        <v/>
      </c>
      <c r="H113" s="260">
        <f>[1]預算內選單資料來源!H113</f>
        <v/>
      </c>
      <c r="I113" s="260">
        <f>[1]預算內選單資料來源!I113</f>
        <v/>
      </c>
      <c r="J113" s="260">
        <f>[1]預算內選單資料來源!J113</f>
        <v/>
      </c>
      <c r="K113" s="260">
        <f>[1]預算內選單資料來源!K113</f>
        <v/>
      </c>
      <c r="L113" s="260">
        <f>[1]預算內選單資料來源!L113</f>
        <v/>
      </c>
    </row>
    <row r="114" ht="16.5" customHeight="1" s="124">
      <c r="A114" s="123">
        <f>[1]預算內選單資料來源!A114</f>
        <v/>
      </c>
      <c r="B114" s="260">
        <f>[1]預算內選單資料來源!B114</f>
        <v/>
      </c>
      <c r="C114" s="260">
        <f>[1]預算內選單資料來源!C114</f>
        <v/>
      </c>
      <c r="D114" s="260">
        <f>[1]預算內選單資料來源!D114</f>
        <v/>
      </c>
      <c r="E114" s="260">
        <f>[1]預算內選單資料來源!E114</f>
        <v/>
      </c>
      <c r="F114" s="260">
        <f>[1]預算內選單資料來源!F114</f>
        <v/>
      </c>
      <c r="G114" s="260">
        <f>[1]預算內選單資料來源!G114</f>
        <v/>
      </c>
      <c r="H114" s="260">
        <f>[1]預算內選單資料來源!H114</f>
        <v/>
      </c>
      <c r="I114" s="260">
        <f>[1]預算內選單資料來源!I114</f>
        <v/>
      </c>
      <c r="J114" s="260">
        <f>[1]預算內選單資料來源!J114</f>
        <v/>
      </c>
      <c r="K114" s="260">
        <f>[1]預算內選單資料來源!K114</f>
        <v/>
      </c>
      <c r="L114" s="260">
        <f>[1]預算內選單資料來源!L114</f>
        <v/>
      </c>
    </row>
    <row r="115" ht="16.5" customHeight="1" s="124">
      <c r="A115" s="123">
        <f>[1]預算內選單資料來源!A115</f>
        <v/>
      </c>
      <c r="B115" s="260">
        <f>[1]預算內選單資料來源!B115</f>
        <v/>
      </c>
      <c r="C115" s="260">
        <f>[1]預算內選單資料來源!C115</f>
        <v/>
      </c>
      <c r="D115" s="260">
        <f>[1]預算內選單資料來源!D115</f>
        <v/>
      </c>
      <c r="E115" s="260">
        <f>[1]預算內選單資料來源!E115</f>
        <v/>
      </c>
      <c r="F115" s="260">
        <f>[1]預算內選單資料來源!F115</f>
        <v/>
      </c>
      <c r="G115" s="260">
        <f>[1]預算內選單資料來源!G115</f>
        <v/>
      </c>
      <c r="H115" s="260">
        <f>[1]預算內選單資料來源!H115</f>
        <v/>
      </c>
      <c r="I115" s="260">
        <f>[1]預算內選單資料來源!I115</f>
        <v/>
      </c>
      <c r="J115" s="260">
        <f>[1]預算內選單資料來源!J115</f>
        <v/>
      </c>
      <c r="K115" s="260">
        <f>[1]預算內選單資料來源!K115</f>
        <v/>
      </c>
      <c r="L115" s="260">
        <f>[1]預算內選單資料來源!L115</f>
        <v/>
      </c>
    </row>
    <row r="116" ht="16.5" customHeight="1" s="124">
      <c r="A116" s="123">
        <f>[1]預算內選單資料來源!A116</f>
        <v/>
      </c>
      <c r="B116" s="260">
        <f>[1]預算內選單資料來源!B116</f>
        <v/>
      </c>
      <c r="C116" s="260">
        <f>[1]預算內選單資料來源!C116</f>
        <v/>
      </c>
      <c r="D116" s="260">
        <f>[1]預算內選單資料來源!D116</f>
        <v/>
      </c>
      <c r="E116" s="260">
        <f>[1]預算內選單資料來源!E116</f>
        <v/>
      </c>
      <c r="F116" s="260">
        <f>[1]預算內選單資料來源!F116</f>
        <v/>
      </c>
      <c r="G116" s="260">
        <f>[1]預算內選單資料來源!G116</f>
        <v/>
      </c>
      <c r="H116" s="260">
        <f>[1]預算內選單資料來源!H116</f>
        <v/>
      </c>
      <c r="I116" s="260">
        <f>[1]預算內選單資料來源!I116</f>
        <v/>
      </c>
      <c r="J116" s="260">
        <f>[1]預算內選單資料來源!J116</f>
        <v/>
      </c>
      <c r="K116" s="260">
        <f>[1]預算內選單資料來源!K116</f>
        <v/>
      </c>
      <c r="L116" s="260">
        <f>[1]預算內選單資料來源!L116</f>
        <v/>
      </c>
    </row>
    <row r="117" ht="16.5" customHeight="1" s="124">
      <c r="A117" s="123">
        <f>[1]預算內選單資料來源!A117</f>
        <v/>
      </c>
      <c r="B117" s="260">
        <f>[1]預算內選單資料來源!B117</f>
        <v/>
      </c>
      <c r="C117" s="260">
        <f>[1]預算內選單資料來源!C117</f>
        <v/>
      </c>
      <c r="D117" s="260">
        <f>[1]預算內選單資料來源!D117</f>
        <v/>
      </c>
      <c r="E117" s="260">
        <f>[1]預算內選單資料來源!E117</f>
        <v/>
      </c>
      <c r="F117" s="260">
        <f>[1]預算內選單資料來源!F117</f>
        <v/>
      </c>
      <c r="G117" s="260">
        <f>[1]預算內選單資料來源!G117</f>
        <v/>
      </c>
      <c r="H117" s="260">
        <f>[1]預算內選單資料來源!H117</f>
        <v/>
      </c>
      <c r="I117" s="260">
        <f>[1]預算內選單資料來源!I117</f>
        <v/>
      </c>
      <c r="J117" s="260">
        <f>[1]預算內選單資料來源!J117</f>
        <v/>
      </c>
      <c r="K117" s="260">
        <f>[1]預算內選單資料來源!K117</f>
        <v/>
      </c>
      <c r="L117" s="260">
        <f>[1]預算內選單資料來源!L117</f>
        <v/>
      </c>
    </row>
    <row r="118" ht="16.5" customHeight="1" s="124">
      <c r="A118" s="123">
        <f>[1]預算內選單資料來源!A118</f>
        <v/>
      </c>
      <c r="B118" s="260">
        <f>[1]預算內選單資料來源!B118</f>
        <v/>
      </c>
      <c r="C118" s="260">
        <f>[1]預算內選單資料來源!C118</f>
        <v/>
      </c>
      <c r="D118" s="260">
        <f>[1]預算內選單資料來源!D118</f>
        <v/>
      </c>
      <c r="E118" s="260">
        <f>[1]預算內選單資料來源!E118</f>
        <v/>
      </c>
      <c r="F118" s="260">
        <f>[1]預算內選單資料來源!F118</f>
        <v/>
      </c>
      <c r="G118" s="260">
        <f>[1]預算內選單資料來源!G118</f>
        <v/>
      </c>
      <c r="H118" s="260">
        <f>[1]預算內選單資料來源!H118</f>
        <v/>
      </c>
      <c r="I118" s="260">
        <f>[1]預算內選單資料來源!I118</f>
        <v/>
      </c>
      <c r="J118" s="260">
        <f>[1]預算內選單資料來源!J118</f>
        <v/>
      </c>
      <c r="K118" s="260">
        <f>[1]預算內選單資料來源!K118</f>
        <v/>
      </c>
      <c r="L118" s="260">
        <f>[1]預算內選單資料來源!L118</f>
        <v/>
      </c>
    </row>
    <row r="119" ht="16.5" customHeight="1" s="124">
      <c r="A119" s="123">
        <f>[1]預算內選單資料來源!A119</f>
        <v/>
      </c>
      <c r="B119" s="260">
        <f>[1]預算內選單資料來源!B119</f>
        <v/>
      </c>
      <c r="C119" s="260">
        <f>[1]預算內選單資料來源!C119</f>
        <v/>
      </c>
      <c r="D119" s="260">
        <f>[1]預算內選單資料來源!D119</f>
        <v/>
      </c>
      <c r="E119" s="260">
        <f>[1]預算內選單資料來源!E119</f>
        <v/>
      </c>
      <c r="F119" s="260">
        <f>[1]預算內選單資料來源!F119</f>
        <v/>
      </c>
      <c r="G119" s="260">
        <f>[1]預算內選單資料來源!G119</f>
        <v/>
      </c>
      <c r="H119" s="260">
        <f>[1]預算內選單資料來源!H119</f>
        <v/>
      </c>
      <c r="I119" s="260">
        <f>[1]預算內選單資料來源!I119</f>
        <v/>
      </c>
      <c r="J119" s="260">
        <f>[1]預算內選單資料來源!J119</f>
        <v/>
      </c>
      <c r="K119" s="260">
        <f>[1]預算內選單資料來源!K119</f>
        <v/>
      </c>
      <c r="L119" s="260">
        <f>[1]預算內選單資料來源!L119</f>
        <v/>
      </c>
    </row>
    <row r="120" ht="16.5" customHeight="1" s="124">
      <c r="A120" s="123">
        <f>[1]預算內選單資料來源!A120</f>
        <v/>
      </c>
      <c r="B120" s="260">
        <f>[1]預算內選單資料來源!B120</f>
        <v/>
      </c>
      <c r="C120" s="260">
        <f>[1]預算內選單資料來源!C120</f>
        <v/>
      </c>
      <c r="D120" s="260">
        <f>[1]預算內選單資料來源!D120</f>
        <v/>
      </c>
      <c r="E120" s="260">
        <f>[1]預算內選單資料來源!E120</f>
        <v/>
      </c>
      <c r="F120" s="260">
        <f>[1]預算內選單資料來源!F120</f>
        <v/>
      </c>
      <c r="G120" s="260">
        <f>[1]預算內選單資料來源!G120</f>
        <v/>
      </c>
      <c r="H120" s="260">
        <f>[1]預算內選單資料來源!H120</f>
        <v/>
      </c>
      <c r="I120" s="260">
        <f>[1]預算內選單資料來源!I120</f>
        <v/>
      </c>
      <c r="J120" s="260">
        <f>[1]預算內選單資料來源!J120</f>
        <v/>
      </c>
      <c r="K120" s="260">
        <f>[1]預算內選單資料來源!K120</f>
        <v/>
      </c>
      <c r="L120" s="260">
        <f>[1]預算內選單資料來源!L120</f>
        <v/>
      </c>
    </row>
    <row r="121" ht="16.5" customHeight="1" s="124">
      <c r="A121" s="123">
        <f>[1]預算內選單資料來源!A121</f>
        <v/>
      </c>
      <c r="B121" s="260">
        <f>[1]預算內選單資料來源!B121</f>
        <v/>
      </c>
      <c r="C121" s="260">
        <f>[1]預算內選單資料來源!C121</f>
        <v/>
      </c>
      <c r="D121" s="260">
        <f>[1]預算內選單資料來源!D121</f>
        <v/>
      </c>
      <c r="E121" s="260">
        <f>[1]預算內選單資料來源!E121</f>
        <v/>
      </c>
      <c r="F121" s="260">
        <f>[1]預算內選單資料來源!F121</f>
        <v/>
      </c>
      <c r="G121" s="260">
        <f>[1]預算內選單資料來源!G121</f>
        <v/>
      </c>
      <c r="H121" s="260">
        <f>[1]預算內選單資料來源!H121</f>
        <v/>
      </c>
      <c r="I121" s="260">
        <f>[1]預算內選單資料來源!I121</f>
        <v/>
      </c>
      <c r="J121" s="260">
        <f>[1]預算內選單資料來源!J121</f>
        <v/>
      </c>
      <c r="K121" s="260">
        <f>[1]預算內選單資料來源!K121</f>
        <v/>
      </c>
      <c r="L121" s="260">
        <f>[1]預算內選單資料來源!L121</f>
        <v/>
      </c>
    </row>
    <row r="122" ht="16.5" customHeight="1" s="124">
      <c r="A122" s="123">
        <f>[1]預算內選單資料來源!A122</f>
        <v/>
      </c>
      <c r="B122" s="260">
        <f>[1]預算內選單資料來源!B122</f>
        <v/>
      </c>
      <c r="C122" s="260">
        <f>[1]預算內選單資料來源!C122</f>
        <v/>
      </c>
      <c r="D122" s="260">
        <f>[1]預算內選單資料來源!D122</f>
        <v/>
      </c>
      <c r="E122" s="260">
        <f>[1]預算內選單資料來源!E122</f>
        <v/>
      </c>
      <c r="F122" s="260">
        <f>[1]預算內選單資料來源!F122</f>
        <v/>
      </c>
      <c r="G122" s="260">
        <f>[1]預算內選單資料來源!G122</f>
        <v/>
      </c>
      <c r="H122" s="260">
        <f>[1]預算內選單資料來源!H122</f>
        <v/>
      </c>
      <c r="I122" s="260">
        <f>[1]預算內選單資料來源!I122</f>
        <v/>
      </c>
      <c r="J122" s="260">
        <f>[1]預算內選單資料來源!J122</f>
        <v/>
      </c>
      <c r="K122" s="260">
        <f>[1]預算內選單資料來源!K122</f>
        <v/>
      </c>
      <c r="L122" s="260">
        <f>[1]預算內選單資料來源!L122</f>
        <v/>
      </c>
    </row>
    <row r="123" ht="16.5" customHeight="1" s="124">
      <c r="A123" s="123">
        <f>[1]預算內選單資料來源!A123</f>
        <v/>
      </c>
      <c r="B123" s="260">
        <f>[1]預算內選單資料來源!B123</f>
        <v/>
      </c>
      <c r="C123" s="260">
        <f>[1]預算內選單資料來源!C123</f>
        <v/>
      </c>
      <c r="D123" s="260">
        <f>[1]預算內選單資料來源!D123</f>
        <v/>
      </c>
      <c r="E123" s="260">
        <f>[1]預算內選單資料來源!E123</f>
        <v/>
      </c>
      <c r="F123" s="260">
        <f>[1]預算內選單資料來源!F123</f>
        <v/>
      </c>
      <c r="G123" s="260">
        <f>[1]預算內選單資料來源!G123</f>
        <v/>
      </c>
      <c r="H123" s="260">
        <f>[1]預算內選單資料來源!H123</f>
        <v/>
      </c>
      <c r="I123" s="260">
        <f>[1]預算內選單資料來源!I123</f>
        <v/>
      </c>
      <c r="J123" s="260">
        <f>[1]預算內選單資料來源!J123</f>
        <v/>
      </c>
      <c r="K123" s="260">
        <f>[1]預算內選單資料來源!K123</f>
        <v/>
      </c>
      <c r="L123" s="260">
        <f>[1]預算內選單資料來源!L123</f>
        <v/>
      </c>
    </row>
    <row r="124" ht="16.5" customHeight="1" s="124">
      <c r="A124" s="123">
        <f>[1]預算內選單資料來源!A124</f>
        <v/>
      </c>
      <c r="B124" s="260">
        <f>[1]預算內選單資料來源!B124</f>
        <v/>
      </c>
      <c r="C124" s="260">
        <f>[1]預算內選單資料來源!C124</f>
        <v/>
      </c>
      <c r="D124" s="260">
        <f>[1]預算內選單資料來源!D124</f>
        <v/>
      </c>
      <c r="E124" s="260">
        <f>[1]預算內選單資料來源!E124</f>
        <v/>
      </c>
      <c r="F124" s="260">
        <f>[1]預算內選單資料來源!F124</f>
        <v/>
      </c>
      <c r="G124" s="260">
        <f>[1]預算內選單資料來源!G124</f>
        <v/>
      </c>
      <c r="H124" s="260">
        <f>[1]預算內選單資料來源!H124</f>
        <v/>
      </c>
      <c r="I124" s="260">
        <f>[1]預算內選單資料來源!I124</f>
        <v/>
      </c>
      <c r="J124" s="260">
        <f>[1]預算內選單資料來源!J124</f>
        <v/>
      </c>
      <c r="K124" s="260">
        <f>[1]預算內選單資料來源!K124</f>
        <v/>
      </c>
      <c r="L124" s="260">
        <f>[1]預算內選單資料來源!L124</f>
        <v/>
      </c>
    </row>
    <row r="125" ht="16.5" customHeight="1" s="124">
      <c r="A125" s="123">
        <f>[1]預算內選單資料來源!A125</f>
        <v/>
      </c>
      <c r="B125" s="260">
        <f>[1]預算內選單資料來源!B125</f>
        <v/>
      </c>
      <c r="C125" s="260">
        <f>[1]預算內選單資料來源!C125</f>
        <v/>
      </c>
      <c r="D125" s="260">
        <f>[1]預算內選單資料來源!D125</f>
        <v/>
      </c>
      <c r="E125" s="260">
        <f>[1]預算內選單資料來源!E125</f>
        <v/>
      </c>
      <c r="F125" s="260">
        <f>[1]預算內選單資料來源!F125</f>
        <v/>
      </c>
      <c r="G125" s="260">
        <f>[1]預算內選單資料來源!G125</f>
        <v/>
      </c>
      <c r="H125" s="260">
        <f>[1]預算內選單資料來源!H125</f>
        <v/>
      </c>
      <c r="I125" s="260">
        <f>[1]預算內選單資料來源!I125</f>
        <v/>
      </c>
      <c r="J125" s="260">
        <f>[1]預算內選單資料來源!J125</f>
        <v/>
      </c>
      <c r="K125" s="260">
        <f>[1]預算內選單資料來源!K125</f>
        <v/>
      </c>
      <c r="L125" s="260">
        <f>[1]預算內選單資料來源!L125</f>
        <v/>
      </c>
    </row>
    <row r="126" ht="16.5" customHeight="1" s="124">
      <c r="A126" s="123">
        <f>[1]預算內選單資料來源!A126</f>
        <v/>
      </c>
      <c r="B126" s="260">
        <f>[1]預算內選單資料來源!B126</f>
        <v/>
      </c>
      <c r="C126" s="260">
        <f>[1]預算內選單資料來源!C126</f>
        <v/>
      </c>
      <c r="D126" s="260">
        <f>[1]預算內選單資料來源!D126</f>
        <v/>
      </c>
      <c r="E126" s="260">
        <f>[1]預算內選單資料來源!E126</f>
        <v/>
      </c>
      <c r="F126" s="260">
        <f>[1]預算內選單資料來源!F126</f>
        <v/>
      </c>
      <c r="G126" s="260">
        <f>[1]預算內選單資料來源!G126</f>
        <v/>
      </c>
      <c r="H126" s="260">
        <f>[1]預算內選單資料來源!H126</f>
        <v/>
      </c>
      <c r="I126" s="260">
        <f>[1]預算內選單資料來源!I126</f>
        <v/>
      </c>
      <c r="J126" s="260">
        <f>[1]預算內選單資料來源!J126</f>
        <v/>
      </c>
      <c r="K126" s="260">
        <f>[1]預算內選單資料來源!K126</f>
        <v/>
      </c>
      <c r="L126" s="260">
        <f>[1]預算內選單資料來源!L126</f>
        <v/>
      </c>
    </row>
    <row r="127" ht="16.5" customHeight="1" s="124">
      <c r="A127" s="123">
        <f>[1]預算內選單資料來源!A127</f>
        <v/>
      </c>
      <c r="B127" s="260">
        <f>[1]預算內選單資料來源!B127</f>
        <v/>
      </c>
      <c r="C127" s="260">
        <f>[1]預算內選單資料來源!C127</f>
        <v/>
      </c>
      <c r="D127" s="260">
        <f>[1]預算內選單資料來源!D127</f>
        <v/>
      </c>
      <c r="E127" s="260">
        <f>[1]預算內選單資料來源!E127</f>
        <v/>
      </c>
      <c r="F127" s="260">
        <f>[1]預算內選單資料來源!F127</f>
        <v/>
      </c>
      <c r="G127" s="260">
        <f>[1]預算內選單資料來源!G127</f>
        <v/>
      </c>
      <c r="H127" s="260">
        <f>[1]預算內選單資料來源!H127</f>
        <v/>
      </c>
      <c r="I127" s="260">
        <f>[1]預算內選單資料來源!I127</f>
        <v/>
      </c>
      <c r="J127" s="260">
        <f>[1]預算內選單資料來源!J127</f>
        <v/>
      </c>
      <c r="K127" s="260">
        <f>[1]預算內選單資料來源!K127</f>
        <v/>
      </c>
      <c r="L127" s="260">
        <f>[1]預算內選單資料來源!L127</f>
        <v/>
      </c>
    </row>
    <row r="128" ht="16.5" customHeight="1" s="124">
      <c r="A128" s="123">
        <f>[1]預算內選單資料來源!A128</f>
        <v/>
      </c>
      <c r="B128" s="260">
        <f>[1]預算內選單資料來源!B128</f>
        <v/>
      </c>
      <c r="C128" s="260">
        <f>[1]預算內選單資料來源!C128</f>
        <v/>
      </c>
      <c r="D128" s="260">
        <f>[1]預算內選單資料來源!D128</f>
        <v/>
      </c>
      <c r="E128" s="260">
        <f>[1]預算內選單資料來源!E128</f>
        <v/>
      </c>
      <c r="F128" s="260">
        <f>[1]預算內選單資料來源!F128</f>
        <v/>
      </c>
      <c r="G128" s="260">
        <f>[1]預算內選單資料來源!G128</f>
        <v/>
      </c>
      <c r="H128" s="260">
        <f>[1]預算內選單資料來源!H128</f>
        <v/>
      </c>
      <c r="I128" s="260">
        <f>[1]預算內選單資料來源!I128</f>
        <v/>
      </c>
      <c r="J128" s="260">
        <f>[1]預算內選單資料來源!J128</f>
        <v/>
      </c>
      <c r="K128" s="260">
        <f>[1]預算內選單資料來源!K128</f>
        <v/>
      </c>
      <c r="L128" s="260">
        <f>[1]預算內選單資料來源!L128</f>
        <v/>
      </c>
    </row>
    <row r="129" ht="16.5" customHeight="1" s="124">
      <c r="A129" s="123">
        <f>[1]預算內選單資料來源!A129</f>
        <v/>
      </c>
      <c r="B129" s="260">
        <f>[1]預算內選單資料來源!B129</f>
        <v/>
      </c>
      <c r="C129" s="260">
        <f>[1]預算內選單資料來源!C129</f>
        <v/>
      </c>
      <c r="D129" s="260">
        <f>[1]預算內選單資料來源!D129</f>
        <v/>
      </c>
      <c r="E129" s="260">
        <f>[1]預算內選單資料來源!E129</f>
        <v/>
      </c>
      <c r="F129" s="260">
        <f>[1]預算內選單資料來源!F129</f>
        <v/>
      </c>
      <c r="G129" s="260">
        <f>[1]預算內選單資料來源!G129</f>
        <v/>
      </c>
      <c r="H129" s="260">
        <f>[1]預算內選單資料來源!H129</f>
        <v/>
      </c>
      <c r="I129" s="260">
        <f>[1]預算內選單資料來源!I129</f>
        <v/>
      </c>
      <c r="J129" s="260">
        <f>[1]預算內選單資料來源!J129</f>
        <v/>
      </c>
      <c r="K129" s="260">
        <f>[1]預算內選單資料來源!K129</f>
        <v/>
      </c>
      <c r="L129" s="260">
        <f>[1]預算內選單資料來源!L129</f>
        <v/>
      </c>
    </row>
    <row r="130" ht="16.5" customHeight="1" s="124">
      <c r="A130" s="123">
        <f>[1]預算內選單資料來源!A130</f>
        <v/>
      </c>
      <c r="B130" s="260">
        <f>[1]預算內選單資料來源!B130</f>
        <v/>
      </c>
      <c r="C130" s="260">
        <f>[1]預算內選單資料來源!C130</f>
        <v/>
      </c>
      <c r="D130" s="260">
        <f>[1]預算內選單資料來源!D130</f>
        <v/>
      </c>
      <c r="E130" s="260">
        <f>[1]預算內選單資料來源!E130</f>
        <v/>
      </c>
      <c r="F130" s="260">
        <f>[1]預算內選單資料來源!F130</f>
        <v/>
      </c>
      <c r="G130" s="260">
        <f>[1]預算內選單資料來源!G130</f>
        <v/>
      </c>
      <c r="H130" s="260">
        <f>[1]預算內選單資料來源!H130</f>
        <v/>
      </c>
      <c r="I130" s="260">
        <f>[1]預算內選單資料來源!I130</f>
        <v/>
      </c>
      <c r="J130" s="260">
        <f>[1]預算內選單資料來源!J130</f>
        <v/>
      </c>
      <c r="K130" s="260">
        <f>[1]預算內選單資料來源!K130</f>
        <v/>
      </c>
      <c r="L130" s="260">
        <f>[1]預算內選單資料來源!L130</f>
        <v/>
      </c>
    </row>
    <row r="131" ht="16.5" customHeight="1" s="124">
      <c r="A131" s="123">
        <f>[1]預算內選單資料來源!A131</f>
        <v/>
      </c>
      <c r="B131" s="260">
        <f>[1]預算內選單資料來源!B131</f>
        <v/>
      </c>
      <c r="C131" s="260">
        <f>[1]預算內選單資料來源!C131</f>
        <v/>
      </c>
      <c r="D131" s="260">
        <f>[1]預算內選單資料來源!D131</f>
        <v/>
      </c>
      <c r="E131" s="260">
        <f>[1]預算內選單資料來源!E131</f>
        <v/>
      </c>
      <c r="F131" s="260">
        <f>[1]預算內選單資料來源!F131</f>
        <v/>
      </c>
      <c r="G131" s="260">
        <f>[1]預算內選單資料來源!G131</f>
        <v/>
      </c>
      <c r="H131" s="260">
        <f>[1]預算內選單資料來源!H131</f>
        <v/>
      </c>
      <c r="I131" s="260">
        <f>[1]預算內選單資料來源!I131</f>
        <v/>
      </c>
      <c r="J131" s="260">
        <f>[1]預算內選單資料來源!J131</f>
        <v/>
      </c>
      <c r="K131" s="260">
        <f>[1]預算內選單資料來源!K131</f>
        <v/>
      </c>
      <c r="L131" s="260">
        <f>[1]預算內選單資料來源!L131</f>
        <v/>
      </c>
    </row>
    <row r="132" ht="16.5" customHeight="1" s="124">
      <c r="A132" s="123">
        <f>[1]預算內選單資料來源!A132</f>
        <v/>
      </c>
      <c r="B132" s="260">
        <f>[1]預算內選單資料來源!B132</f>
        <v/>
      </c>
      <c r="C132" s="260">
        <f>[1]預算內選單資料來源!C132</f>
        <v/>
      </c>
      <c r="D132" s="260">
        <f>[1]預算內選單資料來源!D132</f>
        <v/>
      </c>
      <c r="E132" s="260">
        <f>[1]預算內選單資料來源!E132</f>
        <v/>
      </c>
      <c r="F132" s="260">
        <f>[1]預算內選單資料來源!F132</f>
        <v/>
      </c>
      <c r="G132" s="260">
        <f>[1]預算內選單資料來源!G132</f>
        <v/>
      </c>
      <c r="H132" s="260">
        <f>[1]預算內選單資料來源!H132</f>
        <v/>
      </c>
      <c r="I132" s="260">
        <f>[1]預算內選單資料來源!I132</f>
        <v/>
      </c>
      <c r="J132" s="260">
        <f>[1]預算內選單資料來源!J132</f>
        <v/>
      </c>
      <c r="K132" s="260">
        <f>[1]預算內選單資料來源!K132</f>
        <v/>
      </c>
      <c r="L132" s="260">
        <f>[1]預算內選單資料來源!L132</f>
        <v/>
      </c>
    </row>
    <row r="133" ht="16.5" customHeight="1" s="124">
      <c r="A133" s="123">
        <f>[1]預算內選單資料來源!A133</f>
        <v/>
      </c>
      <c r="B133" s="260">
        <f>[1]預算內選單資料來源!B133</f>
        <v/>
      </c>
      <c r="C133" s="260">
        <f>[1]預算內選單資料來源!C133</f>
        <v/>
      </c>
      <c r="D133" s="260">
        <f>[1]預算內選單資料來源!D133</f>
        <v/>
      </c>
      <c r="E133" s="260">
        <f>[1]預算內選單資料來源!E133</f>
        <v/>
      </c>
      <c r="F133" s="260">
        <f>[1]預算內選單資料來源!F133</f>
        <v/>
      </c>
      <c r="G133" s="260">
        <f>[1]預算內選單資料來源!G133</f>
        <v/>
      </c>
      <c r="H133" s="260">
        <f>[1]預算內選單資料來源!H133</f>
        <v/>
      </c>
      <c r="I133" s="260">
        <f>[1]預算內選單資料來源!I133</f>
        <v/>
      </c>
      <c r="J133" s="260">
        <f>[1]預算內選單資料來源!J133</f>
        <v/>
      </c>
      <c r="K133" s="260">
        <f>[1]預算內選單資料來源!K133</f>
        <v/>
      </c>
      <c r="L133" s="260">
        <f>[1]預算內選單資料來源!L133</f>
        <v/>
      </c>
    </row>
    <row r="134" ht="16.5" customHeight="1" s="124">
      <c r="A134" s="123">
        <f>[1]預算內選單資料來源!A134</f>
        <v/>
      </c>
      <c r="B134" s="260">
        <f>[1]預算內選單資料來源!B134</f>
        <v/>
      </c>
      <c r="C134" s="260">
        <f>[1]預算內選單資料來源!C134</f>
        <v/>
      </c>
      <c r="D134" s="260">
        <f>[1]預算內選單資料來源!D134</f>
        <v/>
      </c>
      <c r="E134" s="260">
        <f>[1]預算內選單資料來源!E134</f>
        <v/>
      </c>
      <c r="F134" s="260">
        <f>[1]預算內選單資料來源!F134</f>
        <v/>
      </c>
      <c r="G134" s="260">
        <f>[1]預算內選單資料來源!G134</f>
        <v/>
      </c>
      <c r="H134" s="260">
        <f>[1]預算內選單資料來源!H134</f>
        <v/>
      </c>
      <c r="I134" s="260">
        <f>[1]預算內選單資料來源!I134</f>
        <v/>
      </c>
      <c r="J134" s="260">
        <f>[1]預算內選單資料來源!J134</f>
        <v/>
      </c>
      <c r="K134" s="260">
        <f>[1]預算內選單資料來源!K134</f>
        <v/>
      </c>
      <c r="L134" s="260">
        <f>[1]預算內選單資料來源!L134</f>
        <v/>
      </c>
    </row>
    <row r="135" ht="16.5" customHeight="1" s="124">
      <c r="A135" s="123">
        <f>[1]預算內選單資料來源!A135</f>
        <v/>
      </c>
      <c r="B135" s="260">
        <f>[1]預算內選單資料來源!B135</f>
        <v/>
      </c>
      <c r="C135" s="260">
        <f>[1]預算內選單資料來源!C135</f>
        <v/>
      </c>
      <c r="D135" s="260">
        <f>[1]預算內選單資料來源!D135</f>
        <v/>
      </c>
      <c r="E135" s="260">
        <f>[1]預算內選單資料來源!E135</f>
        <v/>
      </c>
      <c r="F135" s="260">
        <f>[1]預算內選單資料來源!F135</f>
        <v/>
      </c>
      <c r="G135" s="260">
        <f>[1]預算內選單資料來源!G135</f>
        <v/>
      </c>
      <c r="H135" s="260">
        <f>[1]預算內選單資料來源!H135</f>
        <v/>
      </c>
      <c r="I135" s="260">
        <f>[1]預算內選單資料來源!I135</f>
        <v/>
      </c>
      <c r="J135" s="260">
        <f>[1]預算內選單資料來源!J135</f>
        <v/>
      </c>
      <c r="K135" s="260">
        <f>[1]預算內選單資料來源!K135</f>
        <v/>
      </c>
      <c r="L135" s="260">
        <f>[1]預算內選單資料來源!L135</f>
        <v/>
      </c>
    </row>
    <row r="136" ht="16.5" customHeight="1" s="124">
      <c r="A136" s="123">
        <f>[1]預算內選單資料來源!A136</f>
        <v/>
      </c>
      <c r="B136" s="260">
        <f>[1]預算內選單資料來源!B136</f>
        <v/>
      </c>
      <c r="C136" s="260">
        <f>[1]預算內選單資料來源!C136</f>
        <v/>
      </c>
      <c r="D136" s="260">
        <f>[1]預算內選單資料來源!D136</f>
        <v/>
      </c>
      <c r="E136" s="260">
        <f>[1]預算內選單資料來源!E136</f>
        <v/>
      </c>
      <c r="F136" s="260">
        <f>[1]預算內選單資料來源!F136</f>
        <v/>
      </c>
      <c r="G136" s="260">
        <f>[1]預算內選單資料來源!G136</f>
        <v/>
      </c>
      <c r="H136" s="260">
        <f>[1]預算內選單資料來源!H136</f>
        <v/>
      </c>
      <c r="I136" s="260">
        <f>[1]預算內選單資料來源!I136</f>
        <v/>
      </c>
      <c r="J136" s="260">
        <f>[1]預算內選單資料來源!J136</f>
        <v/>
      </c>
      <c r="K136" s="260">
        <f>[1]預算內選單資料來源!K136</f>
        <v/>
      </c>
      <c r="L136" s="260">
        <f>[1]預算內選單資料來源!L136</f>
        <v/>
      </c>
    </row>
    <row r="137" ht="16.5" customHeight="1" s="124">
      <c r="A137" s="123">
        <f>[1]預算內選單資料來源!A137</f>
        <v/>
      </c>
      <c r="B137" s="260">
        <f>[1]預算內選單資料來源!B137</f>
        <v/>
      </c>
      <c r="C137" s="260">
        <f>[1]預算內選單資料來源!C137</f>
        <v/>
      </c>
      <c r="D137" s="260">
        <f>[1]預算內選單資料來源!D137</f>
        <v/>
      </c>
      <c r="E137" s="260">
        <f>[1]預算內選單資料來源!E137</f>
        <v/>
      </c>
      <c r="F137" s="260">
        <f>[1]預算內選單資料來源!F137</f>
        <v/>
      </c>
      <c r="G137" s="260">
        <f>[1]預算內選單資料來源!G137</f>
        <v/>
      </c>
      <c r="H137" s="260">
        <f>[1]預算內選單資料來源!H137</f>
        <v/>
      </c>
      <c r="I137" s="260">
        <f>[1]預算內選單資料來源!I137</f>
        <v/>
      </c>
      <c r="J137" s="260">
        <f>[1]預算內選單資料來源!J137</f>
        <v/>
      </c>
      <c r="K137" s="260">
        <f>[1]預算內選單資料來源!K137</f>
        <v/>
      </c>
      <c r="L137" s="260">
        <f>[1]預算內選單資料來源!L137</f>
        <v/>
      </c>
    </row>
    <row r="138" ht="16.5" customHeight="1" s="124">
      <c r="A138" s="123">
        <f>[1]預算內選單資料來源!A138</f>
        <v/>
      </c>
      <c r="B138" s="260">
        <f>[1]預算內選單資料來源!B138</f>
        <v/>
      </c>
      <c r="C138" s="260">
        <f>[1]預算內選單資料來源!C138</f>
        <v/>
      </c>
      <c r="D138" s="260">
        <f>[1]預算內選單資料來源!D138</f>
        <v/>
      </c>
      <c r="E138" s="260">
        <f>[1]預算內選單資料來源!E138</f>
        <v/>
      </c>
      <c r="F138" s="260">
        <f>[1]預算內選單資料來源!F138</f>
        <v/>
      </c>
      <c r="G138" s="260">
        <f>[1]預算內選單資料來源!G138</f>
        <v/>
      </c>
      <c r="H138" s="260">
        <f>[1]預算內選單資料來源!H138</f>
        <v/>
      </c>
      <c r="I138" s="260">
        <f>[1]預算內選單資料來源!I138</f>
        <v/>
      </c>
      <c r="J138" s="260">
        <f>[1]預算內選單資料來源!J138</f>
        <v/>
      </c>
      <c r="K138" s="260">
        <f>[1]預算內選單資料來源!K138</f>
        <v/>
      </c>
      <c r="L138" s="260">
        <f>[1]預算內選單資料來源!L138</f>
        <v/>
      </c>
    </row>
    <row r="139" ht="16.5" customHeight="1" s="124">
      <c r="A139" s="123">
        <f>[1]預算內選單資料來源!A139</f>
        <v/>
      </c>
      <c r="B139" s="260">
        <f>[1]預算內選單資料來源!B139</f>
        <v/>
      </c>
      <c r="C139" s="260">
        <f>[1]預算內選單資料來源!C139</f>
        <v/>
      </c>
      <c r="D139" s="260">
        <f>[1]預算內選單資料來源!D139</f>
        <v/>
      </c>
      <c r="E139" s="260">
        <f>[1]預算內選單資料來源!E139</f>
        <v/>
      </c>
      <c r="F139" s="260">
        <f>[1]預算內選單資料來源!F139</f>
        <v/>
      </c>
      <c r="G139" s="260">
        <f>[1]預算內選單資料來源!G139</f>
        <v/>
      </c>
      <c r="H139" s="260">
        <f>[1]預算內選單資料來源!H139</f>
        <v/>
      </c>
      <c r="I139" s="260">
        <f>[1]預算內選單資料來源!I139</f>
        <v/>
      </c>
      <c r="J139" s="260">
        <f>[1]預算內選單資料來源!J139</f>
        <v/>
      </c>
      <c r="K139" s="260">
        <f>[1]預算內選單資料來源!K139</f>
        <v/>
      </c>
      <c r="L139" s="260">
        <f>[1]預算內選單資料來源!L139</f>
        <v/>
      </c>
    </row>
    <row r="140" ht="16.5" customHeight="1" s="124">
      <c r="A140" s="123">
        <f>[1]預算內選單資料來源!A140</f>
        <v/>
      </c>
      <c r="B140" s="260">
        <f>[1]預算內選單資料來源!B140</f>
        <v/>
      </c>
      <c r="C140" s="260">
        <f>[1]預算內選單資料來源!C140</f>
        <v/>
      </c>
      <c r="D140" s="260">
        <f>[1]預算內選單資料來源!D140</f>
        <v/>
      </c>
      <c r="E140" s="260">
        <f>[1]預算內選單資料來源!E140</f>
        <v/>
      </c>
      <c r="F140" s="260">
        <f>[1]預算內選單資料來源!F140</f>
        <v/>
      </c>
      <c r="G140" s="260">
        <f>[1]預算內選單資料來源!G140</f>
        <v/>
      </c>
      <c r="H140" s="260">
        <f>[1]預算內選單資料來源!H140</f>
        <v/>
      </c>
      <c r="I140" s="260">
        <f>[1]預算內選單資料來源!I140</f>
        <v/>
      </c>
      <c r="J140" s="260">
        <f>[1]預算內選單資料來源!J140</f>
        <v/>
      </c>
      <c r="K140" s="260">
        <f>[1]預算內選單資料來源!K140</f>
        <v/>
      </c>
      <c r="L140" s="260">
        <f>[1]預算內選單資料來源!L140</f>
        <v/>
      </c>
    </row>
    <row r="141" ht="16.5" customHeight="1" s="124">
      <c r="A141" s="123">
        <f>[1]預算內選單資料來源!A141</f>
        <v/>
      </c>
      <c r="B141" s="260">
        <f>[1]預算內選單資料來源!B141</f>
        <v/>
      </c>
      <c r="C141" s="260">
        <f>[1]預算內選單資料來源!C141</f>
        <v/>
      </c>
      <c r="D141" s="260">
        <f>[1]預算內選單資料來源!D141</f>
        <v/>
      </c>
      <c r="E141" s="260">
        <f>[1]預算內選單資料來源!E141</f>
        <v/>
      </c>
      <c r="F141" s="260">
        <f>[1]預算內選單資料來源!F141</f>
        <v/>
      </c>
      <c r="G141" s="260">
        <f>[1]預算內選單資料來源!G141</f>
        <v/>
      </c>
      <c r="H141" s="260">
        <f>[1]預算內選單資料來源!H141</f>
        <v/>
      </c>
      <c r="I141" s="260">
        <f>[1]預算內選單資料來源!I141</f>
        <v/>
      </c>
      <c r="J141" s="260">
        <f>[1]預算內選單資料來源!J141</f>
        <v/>
      </c>
      <c r="K141" s="260">
        <f>[1]預算內選單資料來源!K141</f>
        <v/>
      </c>
      <c r="L141" s="260">
        <f>[1]預算內選單資料來源!L141</f>
        <v/>
      </c>
    </row>
    <row r="142" ht="16.5" customHeight="1" s="124">
      <c r="A142" s="123">
        <f>[1]預算內選單資料來源!A142</f>
        <v/>
      </c>
      <c r="B142" s="260">
        <f>[1]預算內選單資料來源!B142</f>
        <v/>
      </c>
      <c r="C142" s="260">
        <f>[1]預算內選單資料來源!C142</f>
        <v/>
      </c>
      <c r="D142" s="260">
        <f>[1]預算內選單資料來源!D142</f>
        <v/>
      </c>
      <c r="E142" s="260">
        <f>[1]預算內選單資料來源!E142</f>
        <v/>
      </c>
      <c r="F142" s="260">
        <f>[1]預算內選單資料來源!F142</f>
        <v/>
      </c>
      <c r="G142" s="260">
        <f>[1]預算內選單資料來源!G142</f>
        <v/>
      </c>
      <c r="H142" s="260">
        <f>[1]預算內選單資料來源!H142</f>
        <v/>
      </c>
      <c r="I142" s="260">
        <f>[1]預算內選單資料來源!I142</f>
        <v/>
      </c>
      <c r="J142" s="260">
        <f>[1]預算內選單資料來源!J142</f>
        <v/>
      </c>
      <c r="K142" s="260">
        <f>[1]預算內選單資料來源!K142</f>
        <v/>
      </c>
      <c r="L142" s="260">
        <f>[1]預算內選單資料來源!L142</f>
        <v/>
      </c>
    </row>
    <row r="143" ht="16.5" customHeight="1" s="124">
      <c r="A143" s="123">
        <f>[1]預算內選單資料來源!A143</f>
        <v/>
      </c>
      <c r="B143" s="260">
        <f>[1]預算內選單資料來源!B143</f>
        <v/>
      </c>
      <c r="C143" s="260">
        <f>[1]預算內選單資料來源!C143</f>
        <v/>
      </c>
      <c r="D143" s="260">
        <f>[1]預算內選單資料來源!D143</f>
        <v/>
      </c>
      <c r="E143" s="260">
        <f>[1]預算內選單資料來源!E143</f>
        <v/>
      </c>
      <c r="F143" s="260">
        <f>[1]預算內選單資料來源!F143</f>
        <v/>
      </c>
      <c r="G143" s="260">
        <f>[1]預算內選單資料來源!G143</f>
        <v/>
      </c>
      <c r="H143" s="260">
        <f>[1]預算內選單資料來源!H143</f>
        <v/>
      </c>
      <c r="I143" s="260">
        <f>[1]預算內選單資料來源!I143</f>
        <v/>
      </c>
      <c r="J143" s="260">
        <f>[1]預算內選單資料來源!J143</f>
        <v/>
      </c>
      <c r="K143" s="260">
        <f>[1]預算內選單資料來源!K143</f>
        <v/>
      </c>
      <c r="L143" s="260">
        <f>[1]預算內選單資料來源!L143</f>
        <v/>
      </c>
    </row>
    <row r="144" ht="16.5" customHeight="1" s="124">
      <c r="A144" s="123">
        <f>[1]預算內選單資料來源!A144</f>
        <v/>
      </c>
      <c r="B144" s="260">
        <f>[1]預算內選單資料來源!B144</f>
        <v/>
      </c>
      <c r="C144" s="260">
        <f>[1]預算內選單資料來源!C144</f>
        <v/>
      </c>
      <c r="D144" s="260">
        <f>[1]預算內選單資料來源!D144</f>
        <v/>
      </c>
      <c r="E144" s="260">
        <f>[1]預算內選單資料來源!E144</f>
        <v/>
      </c>
      <c r="F144" s="260">
        <f>[1]預算內選單資料來源!F144</f>
        <v/>
      </c>
      <c r="G144" s="260">
        <f>[1]預算內選單資料來源!G144</f>
        <v/>
      </c>
      <c r="H144" s="260">
        <f>[1]預算內選單資料來源!H144</f>
        <v/>
      </c>
      <c r="I144" s="260">
        <f>[1]預算內選單資料來源!I144</f>
        <v/>
      </c>
      <c r="J144" s="260">
        <f>[1]預算內選單資料來源!J144</f>
        <v/>
      </c>
      <c r="K144" s="260">
        <f>[1]預算內選單資料來源!K144</f>
        <v/>
      </c>
      <c r="L144" s="260">
        <f>[1]預算內選單資料來源!L144</f>
        <v/>
      </c>
    </row>
    <row r="145" ht="16.5" customHeight="1" s="124">
      <c r="A145" s="123">
        <f>[1]預算內選單資料來源!A145</f>
        <v/>
      </c>
      <c r="B145" s="260">
        <f>[1]預算內選單資料來源!B145</f>
        <v/>
      </c>
      <c r="C145" s="260">
        <f>[1]預算內選單資料來源!C145</f>
        <v/>
      </c>
      <c r="D145" s="260">
        <f>[1]預算內選單資料來源!D145</f>
        <v/>
      </c>
      <c r="E145" s="260">
        <f>[1]預算內選單資料來源!E145</f>
        <v/>
      </c>
      <c r="F145" s="260">
        <f>[1]預算內選單資料來源!F145</f>
        <v/>
      </c>
      <c r="G145" s="260">
        <f>[1]預算內選單資料來源!G145</f>
        <v/>
      </c>
      <c r="H145" s="260">
        <f>[1]預算內選單資料來源!H145</f>
        <v/>
      </c>
      <c r="I145" s="260">
        <f>[1]預算內選單資料來源!I145</f>
        <v/>
      </c>
      <c r="J145" s="260">
        <f>[1]預算內選單資料來源!J145</f>
        <v/>
      </c>
      <c r="K145" s="260">
        <f>[1]預算內選單資料來源!K145</f>
        <v/>
      </c>
      <c r="L145" s="260">
        <f>[1]預算內選單資料來源!L145</f>
        <v/>
      </c>
    </row>
    <row r="146" ht="16.5" customHeight="1" s="124">
      <c r="A146" s="123">
        <f>[1]預算內選單資料來源!A146</f>
        <v/>
      </c>
      <c r="B146" s="260">
        <f>[1]預算內選單資料來源!B146</f>
        <v/>
      </c>
      <c r="C146" s="260">
        <f>[1]預算內選單資料來源!C146</f>
        <v/>
      </c>
      <c r="D146" s="260">
        <f>[1]預算內選單資料來源!D146</f>
        <v/>
      </c>
      <c r="E146" s="260">
        <f>[1]預算內選單資料來源!E146</f>
        <v/>
      </c>
      <c r="F146" s="260">
        <f>[1]預算內選單資料來源!F146</f>
        <v/>
      </c>
      <c r="G146" s="260">
        <f>[1]預算內選單資料來源!G146</f>
        <v/>
      </c>
      <c r="H146" s="260">
        <f>[1]預算內選單資料來源!H146</f>
        <v/>
      </c>
      <c r="I146" s="260">
        <f>[1]預算內選單資料來源!I146</f>
        <v/>
      </c>
      <c r="J146" s="260">
        <f>[1]預算內選單資料來源!J146</f>
        <v/>
      </c>
      <c r="K146" s="260">
        <f>[1]預算內選單資料來源!K146</f>
        <v/>
      </c>
      <c r="L146" s="260">
        <f>[1]預算內選單資料來源!L146</f>
        <v/>
      </c>
    </row>
    <row r="147" ht="16.5" customHeight="1" s="124">
      <c r="A147" s="123">
        <f>[1]預算內選單資料來源!A147</f>
        <v/>
      </c>
      <c r="B147" s="260">
        <f>[1]預算內選單資料來源!B147</f>
        <v/>
      </c>
      <c r="C147" s="260">
        <f>[1]預算內選單資料來源!C147</f>
        <v/>
      </c>
      <c r="D147" s="260">
        <f>[1]預算內選單資料來源!D147</f>
        <v/>
      </c>
      <c r="E147" s="260">
        <f>[1]預算內選單資料來源!E147</f>
        <v/>
      </c>
      <c r="F147" s="260">
        <f>[1]預算內選單資料來源!F147</f>
        <v/>
      </c>
      <c r="G147" s="260">
        <f>[1]預算內選單資料來源!G147</f>
        <v/>
      </c>
      <c r="H147" s="260">
        <f>[1]預算內選單資料來源!H147</f>
        <v/>
      </c>
      <c r="I147" s="260">
        <f>[1]預算內選單資料來源!I147</f>
        <v/>
      </c>
      <c r="J147" s="260">
        <f>[1]預算內選單資料來源!J147</f>
        <v/>
      </c>
      <c r="K147" s="260">
        <f>[1]預算內選單資料來源!K147</f>
        <v/>
      </c>
      <c r="L147" s="260">
        <f>[1]預算內選單資料來源!L147</f>
        <v/>
      </c>
    </row>
    <row r="148" ht="16.5" customHeight="1" s="124">
      <c r="A148" s="123">
        <f>[1]預算內選單資料來源!A148</f>
        <v/>
      </c>
      <c r="B148" s="260">
        <f>[1]預算內選單資料來源!B148</f>
        <v/>
      </c>
      <c r="C148" s="260">
        <f>[1]預算內選單資料來源!C148</f>
        <v/>
      </c>
      <c r="D148" s="260">
        <f>[1]預算內選單資料來源!D148</f>
        <v/>
      </c>
      <c r="E148" s="260">
        <f>[1]預算內選單資料來源!E148</f>
        <v/>
      </c>
      <c r="F148" s="260">
        <f>[1]預算內選單資料來源!F148</f>
        <v/>
      </c>
      <c r="G148" s="260">
        <f>[1]預算內選單資料來源!G148</f>
        <v/>
      </c>
      <c r="H148" s="260">
        <f>[1]預算內選單資料來源!H148</f>
        <v/>
      </c>
      <c r="I148" s="260">
        <f>[1]預算內選單資料來源!I148</f>
        <v/>
      </c>
      <c r="J148" s="260">
        <f>[1]預算內選單資料來源!J148</f>
        <v/>
      </c>
      <c r="K148" s="260">
        <f>[1]預算內選單資料來源!K148</f>
        <v/>
      </c>
      <c r="L148" s="260">
        <f>[1]預算內選單資料來源!L148</f>
        <v/>
      </c>
    </row>
    <row r="149" ht="16.5" customHeight="1" s="124">
      <c r="A149" s="123">
        <f>[1]預算內選單資料來源!A149</f>
        <v/>
      </c>
      <c r="B149" s="260">
        <f>[1]預算內選單資料來源!B149</f>
        <v/>
      </c>
      <c r="C149" s="260">
        <f>[1]預算內選單資料來源!C149</f>
        <v/>
      </c>
      <c r="D149" s="260">
        <f>[1]預算內選單資料來源!D149</f>
        <v/>
      </c>
      <c r="E149" s="260">
        <f>[1]預算內選單資料來源!E149</f>
        <v/>
      </c>
      <c r="F149" s="260">
        <f>[1]預算內選單資料來源!F149</f>
        <v/>
      </c>
      <c r="G149" s="260">
        <f>[1]預算內選單資料來源!G149</f>
        <v/>
      </c>
      <c r="H149" s="260">
        <f>[1]預算內選單資料來源!H149</f>
        <v/>
      </c>
      <c r="I149" s="260">
        <f>[1]預算內選單資料來源!I149</f>
        <v/>
      </c>
      <c r="J149" s="260">
        <f>[1]預算內選單資料來源!J149</f>
        <v/>
      </c>
      <c r="K149" s="260">
        <f>[1]預算內選單資料來源!K149</f>
        <v/>
      </c>
      <c r="L149" s="260">
        <f>[1]預算內選單資料來源!L149</f>
        <v/>
      </c>
    </row>
    <row r="150" ht="16.5" customHeight="1" s="124">
      <c r="A150" s="123">
        <f>[1]預算內選單資料來源!A150</f>
        <v/>
      </c>
      <c r="B150" s="260">
        <f>[1]預算內選單資料來源!B150</f>
        <v/>
      </c>
      <c r="C150" s="260">
        <f>[1]預算內選單資料來源!C150</f>
        <v/>
      </c>
      <c r="D150" s="260">
        <f>[1]預算內選單資料來源!D150</f>
        <v/>
      </c>
      <c r="E150" s="260">
        <f>[1]預算內選單資料來源!E150</f>
        <v/>
      </c>
      <c r="F150" s="260">
        <f>[1]預算內選單資料來源!F150</f>
        <v/>
      </c>
      <c r="G150" s="260">
        <f>[1]預算內選單資料來源!G150</f>
        <v/>
      </c>
      <c r="H150" s="260">
        <f>[1]預算內選單資料來源!H150</f>
        <v/>
      </c>
      <c r="I150" s="260">
        <f>[1]預算內選單資料來源!I150</f>
        <v/>
      </c>
      <c r="J150" s="260">
        <f>[1]預算內選單資料來源!J150</f>
        <v/>
      </c>
      <c r="K150" s="260">
        <f>[1]預算內選單資料來源!K150</f>
        <v/>
      </c>
      <c r="L150" s="260">
        <f>[1]預算內選單資料來源!L150</f>
        <v/>
      </c>
    </row>
    <row r="151" ht="16.5" customHeight="1" s="124">
      <c r="A151" s="123">
        <f>[1]預算內選單資料來源!A151</f>
        <v/>
      </c>
      <c r="B151" s="260">
        <f>[1]預算內選單資料來源!B151</f>
        <v/>
      </c>
      <c r="C151" s="260">
        <f>[1]預算內選單資料來源!C151</f>
        <v/>
      </c>
      <c r="D151" s="260">
        <f>[1]預算內選單資料來源!D151</f>
        <v/>
      </c>
      <c r="E151" s="260">
        <f>[1]預算內選單資料來源!E151</f>
        <v/>
      </c>
      <c r="F151" s="260">
        <f>[1]預算內選單資料來源!F151</f>
        <v/>
      </c>
      <c r="G151" s="260">
        <f>[1]預算內選單資料來源!G151</f>
        <v/>
      </c>
      <c r="H151" s="260">
        <f>[1]預算內選單資料來源!H151</f>
        <v/>
      </c>
      <c r="I151" s="260">
        <f>[1]預算內選單資料來源!I151</f>
        <v/>
      </c>
      <c r="J151" s="260">
        <f>[1]預算內選單資料來源!J151</f>
        <v/>
      </c>
      <c r="K151" s="260">
        <f>[1]預算內選單資料來源!K151</f>
        <v/>
      </c>
      <c r="L151" s="260">
        <f>[1]預算內選單資料來源!L151</f>
        <v/>
      </c>
    </row>
    <row r="152" ht="16.5" customHeight="1" s="124">
      <c r="A152" s="123">
        <f>[1]預算內選單資料來源!A152</f>
        <v/>
      </c>
      <c r="B152" s="260">
        <f>[1]預算內選單資料來源!B152</f>
        <v/>
      </c>
      <c r="C152" s="260">
        <f>[1]預算內選單資料來源!C152</f>
        <v/>
      </c>
      <c r="D152" s="260">
        <f>[1]預算內選單資料來源!D152</f>
        <v/>
      </c>
      <c r="E152" s="260">
        <f>[1]預算內選單資料來源!E152</f>
        <v/>
      </c>
      <c r="F152" s="260">
        <f>[1]預算內選單資料來源!F152</f>
        <v/>
      </c>
      <c r="G152" s="260">
        <f>[1]預算內選單資料來源!G152</f>
        <v/>
      </c>
      <c r="H152" s="260">
        <f>[1]預算內選單資料來源!H152</f>
        <v/>
      </c>
      <c r="I152" s="260">
        <f>[1]預算內選單資料來源!I152</f>
        <v/>
      </c>
      <c r="J152" s="260">
        <f>[1]預算內選單資料來源!J152</f>
        <v/>
      </c>
      <c r="K152" s="260">
        <f>[1]預算內選單資料來源!K152</f>
        <v/>
      </c>
      <c r="L152" s="260">
        <f>[1]預算內選單資料來源!L152</f>
        <v/>
      </c>
    </row>
    <row r="153" ht="16.5" customHeight="1" s="124">
      <c r="A153" s="123">
        <f>[1]預算內選單資料來源!A153</f>
        <v/>
      </c>
      <c r="B153" s="260">
        <f>[1]預算內選單資料來源!B153</f>
        <v/>
      </c>
      <c r="C153" s="260">
        <f>[1]預算內選單資料來源!C153</f>
        <v/>
      </c>
      <c r="D153" s="260">
        <f>[1]預算內選單資料來源!D153</f>
        <v/>
      </c>
      <c r="E153" s="260">
        <f>[1]預算內選單資料來源!E153</f>
        <v/>
      </c>
      <c r="F153" s="260">
        <f>[1]預算內選單資料來源!F153</f>
        <v/>
      </c>
      <c r="G153" s="260">
        <f>[1]預算內選單資料來源!G153</f>
        <v/>
      </c>
      <c r="H153" s="260">
        <f>[1]預算內選單資料來源!H153</f>
        <v/>
      </c>
      <c r="I153" s="260">
        <f>[1]預算內選單資料來源!I153</f>
        <v/>
      </c>
      <c r="J153" s="260">
        <f>[1]預算內選單資料來源!J153</f>
        <v/>
      </c>
      <c r="K153" s="260">
        <f>[1]預算內選單資料來源!K153</f>
        <v/>
      </c>
      <c r="L153" s="260">
        <f>[1]預算內選單資料來源!L153</f>
        <v/>
      </c>
    </row>
    <row r="154" ht="16.5" customHeight="1" s="124">
      <c r="A154" s="123">
        <f>[1]預算內選單資料來源!A154</f>
        <v/>
      </c>
      <c r="B154" s="260">
        <f>[1]預算內選單資料來源!B154</f>
        <v/>
      </c>
      <c r="C154" s="260">
        <f>[1]預算內選單資料來源!C154</f>
        <v/>
      </c>
      <c r="D154" s="260">
        <f>[1]預算內選單資料來源!D154</f>
        <v/>
      </c>
      <c r="E154" s="260">
        <f>[1]預算內選單資料來源!E154</f>
        <v/>
      </c>
      <c r="F154" s="260">
        <f>[1]預算內選單資料來源!F154</f>
        <v/>
      </c>
      <c r="G154" s="260">
        <f>[1]預算內選單資料來源!G154</f>
        <v/>
      </c>
      <c r="H154" s="260">
        <f>[1]預算內選單資料來源!H154</f>
        <v/>
      </c>
      <c r="I154" s="260">
        <f>[1]預算內選單資料來源!I154</f>
        <v/>
      </c>
      <c r="J154" s="260">
        <f>[1]預算內選單資料來源!J154</f>
        <v/>
      </c>
      <c r="K154" s="260">
        <f>[1]預算內選單資料來源!K154</f>
        <v/>
      </c>
      <c r="L154" s="260">
        <f>[1]預算內選單資料來源!L154</f>
        <v/>
      </c>
    </row>
    <row r="155" ht="16.5" customHeight="1" s="124">
      <c r="A155" s="123">
        <f>[1]預算內選單資料來源!A155</f>
        <v/>
      </c>
      <c r="B155" s="260">
        <f>[1]預算內選單資料來源!B155</f>
        <v/>
      </c>
      <c r="C155" s="260">
        <f>[1]預算內選單資料來源!C155</f>
        <v/>
      </c>
      <c r="D155" s="260">
        <f>[1]預算內選單資料來源!D155</f>
        <v/>
      </c>
      <c r="E155" s="260">
        <f>[1]預算內選單資料來源!E155</f>
        <v/>
      </c>
      <c r="F155" s="260">
        <f>[1]預算內選單資料來源!F155</f>
        <v/>
      </c>
      <c r="G155" s="260">
        <f>[1]預算內選單資料來源!G155</f>
        <v/>
      </c>
      <c r="H155" s="260">
        <f>[1]預算內選單資料來源!H155</f>
        <v/>
      </c>
      <c r="I155" s="260">
        <f>[1]預算內選單資料來源!I155</f>
        <v/>
      </c>
      <c r="J155" s="260">
        <f>[1]預算內選單資料來源!J155</f>
        <v/>
      </c>
      <c r="K155" s="260">
        <f>[1]預算內選單資料來源!K155</f>
        <v/>
      </c>
      <c r="L155" s="260">
        <f>[1]預算內選單資料來源!L155</f>
        <v/>
      </c>
    </row>
    <row r="156" ht="16.5" customHeight="1" s="124">
      <c r="A156" s="123">
        <f>[1]預算內選單資料來源!A156</f>
        <v/>
      </c>
      <c r="B156" s="260">
        <f>[1]預算內選單資料來源!B156</f>
        <v/>
      </c>
      <c r="C156" s="260">
        <f>[1]預算內選單資料來源!C156</f>
        <v/>
      </c>
      <c r="D156" s="260">
        <f>[1]預算內選單資料來源!D156</f>
        <v/>
      </c>
      <c r="E156" s="260">
        <f>[1]預算內選單資料來源!E156</f>
        <v/>
      </c>
      <c r="F156" s="260">
        <f>[1]預算內選單資料來源!F156</f>
        <v/>
      </c>
      <c r="G156" s="260">
        <f>[1]預算內選單資料來源!G156</f>
        <v/>
      </c>
      <c r="H156" s="260">
        <f>[1]預算內選單資料來源!H156</f>
        <v/>
      </c>
      <c r="I156" s="260">
        <f>[1]預算內選單資料來源!I156</f>
        <v/>
      </c>
      <c r="J156" s="260">
        <f>[1]預算內選單資料來源!J156</f>
        <v/>
      </c>
      <c r="K156" s="260">
        <f>[1]預算內選單資料來源!K156</f>
        <v/>
      </c>
      <c r="L156" s="260">
        <f>[1]預算內選單資料來源!L156</f>
        <v/>
      </c>
    </row>
    <row r="157" ht="16.5" customHeight="1" s="124">
      <c r="A157" s="123">
        <f>[1]預算內選單資料來源!A157</f>
        <v/>
      </c>
      <c r="B157" s="260">
        <f>[1]預算內選單資料來源!B157</f>
        <v/>
      </c>
      <c r="C157" s="260">
        <f>[1]預算內選單資料來源!C157</f>
        <v/>
      </c>
      <c r="D157" s="260">
        <f>[1]預算內選單資料來源!D157</f>
        <v/>
      </c>
      <c r="E157" s="260">
        <f>[1]預算內選單資料來源!E157</f>
        <v/>
      </c>
      <c r="F157" s="260">
        <f>[1]預算內選單資料來源!F157</f>
        <v/>
      </c>
      <c r="G157" s="260">
        <f>[1]預算內選單資料來源!G157</f>
        <v/>
      </c>
      <c r="H157" s="260">
        <f>[1]預算內選單資料來源!H157</f>
        <v/>
      </c>
      <c r="I157" s="260">
        <f>[1]預算內選單資料來源!I157</f>
        <v/>
      </c>
      <c r="J157" s="260">
        <f>[1]預算內選單資料來源!J157</f>
        <v/>
      </c>
      <c r="K157" s="260">
        <f>[1]預算內選單資料來源!K157</f>
        <v/>
      </c>
      <c r="L157" s="260">
        <f>[1]預算內選單資料來源!L157</f>
        <v/>
      </c>
    </row>
    <row r="158" ht="16.5" customHeight="1" s="124">
      <c r="A158" s="123">
        <f>[1]預算內選單資料來源!A158</f>
        <v/>
      </c>
      <c r="B158" s="260">
        <f>[1]預算內選單資料來源!B158</f>
        <v/>
      </c>
      <c r="C158" s="260">
        <f>[1]預算內選單資料來源!C158</f>
        <v/>
      </c>
      <c r="D158" s="260">
        <f>[1]預算內選單資料來源!D158</f>
        <v/>
      </c>
      <c r="E158" s="260">
        <f>[1]預算內選單資料來源!E158</f>
        <v/>
      </c>
      <c r="F158" s="260">
        <f>[1]預算內選單資料來源!F158</f>
        <v/>
      </c>
      <c r="G158" s="260">
        <f>[1]預算內選單資料來源!G158</f>
        <v/>
      </c>
      <c r="H158" s="260">
        <f>[1]預算內選單資料來源!H158</f>
        <v/>
      </c>
      <c r="I158" s="260">
        <f>[1]預算內選單資料來源!I158</f>
        <v/>
      </c>
      <c r="J158" s="260">
        <f>[1]預算內選單資料來源!J158</f>
        <v/>
      </c>
      <c r="K158" s="260">
        <f>[1]預算內選單資料來源!K158</f>
        <v/>
      </c>
      <c r="L158" s="260">
        <f>[1]預算內選單資料來源!L158</f>
        <v/>
      </c>
    </row>
    <row r="159" ht="16.5" customHeight="1" s="124">
      <c r="A159" s="123">
        <f>[1]預算內選單資料來源!A159</f>
        <v/>
      </c>
      <c r="B159" s="260">
        <f>[1]預算內選單資料來源!B159</f>
        <v/>
      </c>
      <c r="C159" s="260">
        <f>[1]預算內選單資料來源!C159</f>
        <v/>
      </c>
      <c r="D159" s="260">
        <f>[1]預算內選單資料來源!D159</f>
        <v/>
      </c>
      <c r="E159" s="260">
        <f>[1]預算內選單資料來源!E159</f>
        <v/>
      </c>
      <c r="F159" s="260">
        <f>[1]預算內選單資料來源!F159</f>
        <v/>
      </c>
      <c r="G159" s="260">
        <f>[1]預算內選單資料來源!G159</f>
        <v/>
      </c>
      <c r="H159" s="260">
        <f>[1]預算內選單資料來源!H159</f>
        <v/>
      </c>
      <c r="I159" s="260">
        <f>[1]預算內選單資料來源!I159</f>
        <v/>
      </c>
      <c r="J159" s="260">
        <f>[1]預算內選單資料來源!J159</f>
        <v/>
      </c>
      <c r="K159" s="260">
        <f>[1]預算內選單資料來源!K159</f>
        <v/>
      </c>
      <c r="L159" s="260">
        <f>[1]預算內選單資料來源!L159</f>
        <v/>
      </c>
    </row>
    <row r="160" ht="16.5" customHeight="1" s="124">
      <c r="A160" s="123">
        <f>[1]預算內選單資料來源!A160</f>
        <v/>
      </c>
      <c r="B160" s="260">
        <f>[1]預算內選單資料來源!B160</f>
        <v/>
      </c>
      <c r="C160" s="260">
        <f>[1]預算內選單資料來源!C160</f>
        <v/>
      </c>
      <c r="D160" s="260">
        <f>[1]預算內選單資料來源!D160</f>
        <v/>
      </c>
      <c r="E160" s="260">
        <f>[1]預算內選單資料來源!E160</f>
        <v/>
      </c>
      <c r="F160" s="260">
        <f>[1]預算內選單資料來源!F160</f>
        <v/>
      </c>
      <c r="G160" s="260">
        <f>[1]預算內選單資料來源!G160</f>
        <v/>
      </c>
      <c r="H160" s="260">
        <f>[1]預算內選單資料來源!H160</f>
        <v/>
      </c>
      <c r="I160" s="260">
        <f>[1]預算內選單資料來源!I160</f>
        <v/>
      </c>
      <c r="J160" s="260">
        <f>[1]預算內選單資料來源!J160</f>
        <v/>
      </c>
      <c r="K160" s="260">
        <f>[1]預算內選單資料來源!K160</f>
        <v/>
      </c>
      <c r="L160" s="260">
        <f>[1]預算內選單資料來源!L160</f>
        <v/>
      </c>
    </row>
    <row r="161" ht="16.5" customHeight="1" s="124">
      <c r="A161" s="123">
        <f>[1]預算內選單資料來源!A161</f>
        <v/>
      </c>
      <c r="B161" s="260">
        <f>[1]預算內選單資料來源!B161</f>
        <v/>
      </c>
      <c r="C161" s="260">
        <f>[1]預算內選單資料來源!C161</f>
        <v/>
      </c>
      <c r="D161" s="260">
        <f>[1]預算內選單資料來源!D161</f>
        <v/>
      </c>
      <c r="E161" s="260">
        <f>[1]預算內選單資料來源!E161</f>
        <v/>
      </c>
      <c r="F161" s="260">
        <f>[1]預算內選單資料來源!F161</f>
        <v/>
      </c>
      <c r="G161" s="260">
        <f>[1]預算內選單資料來源!G161</f>
        <v/>
      </c>
      <c r="H161" s="260">
        <f>[1]預算內選單資料來源!H161</f>
        <v/>
      </c>
      <c r="I161" s="260">
        <f>[1]預算內選單資料來源!I161</f>
        <v/>
      </c>
      <c r="J161" s="260">
        <f>[1]預算內選單資料來源!J161</f>
        <v/>
      </c>
      <c r="K161" s="260">
        <f>[1]預算內選單資料來源!K161</f>
        <v/>
      </c>
      <c r="L161" s="260">
        <f>[1]預算內選單資料來源!L161</f>
        <v/>
      </c>
    </row>
    <row r="162" ht="16.5" customHeight="1" s="124">
      <c r="A162" s="123">
        <f>[1]預算內選單資料來源!A162</f>
        <v/>
      </c>
      <c r="B162" s="260">
        <f>[1]預算內選單資料來源!B162</f>
        <v/>
      </c>
      <c r="C162" s="260">
        <f>[1]預算內選單資料來源!C162</f>
        <v/>
      </c>
      <c r="D162" s="260">
        <f>[1]預算內選單資料來源!D162</f>
        <v/>
      </c>
      <c r="E162" s="260">
        <f>[1]預算內選單資料來源!E162</f>
        <v/>
      </c>
      <c r="F162" s="260">
        <f>[1]預算內選單資料來源!F162</f>
        <v/>
      </c>
      <c r="G162" s="260">
        <f>[1]預算內選單資料來源!G162</f>
        <v/>
      </c>
      <c r="H162" s="260">
        <f>[1]預算內選單資料來源!H162</f>
        <v/>
      </c>
      <c r="I162" s="260">
        <f>[1]預算內選單資料來源!I162</f>
        <v/>
      </c>
      <c r="J162" s="260">
        <f>[1]預算內選單資料來源!J162</f>
        <v/>
      </c>
      <c r="K162" s="260">
        <f>[1]預算內選單資料來源!K162</f>
        <v/>
      </c>
      <c r="L162" s="260">
        <f>[1]預算內選單資料來源!L162</f>
        <v/>
      </c>
    </row>
    <row r="163" ht="16.5" customHeight="1" s="124">
      <c r="A163" s="123">
        <f>[1]預算內選單資料來源!A163</f>
        <v/>
      </c>
      <c r="B163" s="260">
        <f>[1]預算內選單資料來源!B163</f>
        <v/>
      </c>
      <c r="C163" s="260">
        <f>[1]預算內選單資料來源!C163</f>
        <v/>
      </c>
      <c r="D163" s="260">
        <f>[1]預算內選單資料來源!D163</f>
        <v/>
      </c>
      <c r="E163" s="260">
        <f>[1]預算內選單資料來源!E163</f>
        <v/>
      </c>
      <c r="F163" s="260">
        <f>[1]預算內選單資料來源!F163</f>
        <v/>
      </c>
      <c r="G163" s="260">
        <f>[1]預算內選單資料來源!G163</f>
        <v/>
      </c>
      <c r="H163" s="260">
        <f>[1]預算內選單資料來源!H163</f>
        <v/>
      </c>
      <c r="I163" s="260">
        <f>[1]預算內選單資料來源!I163</f>
        <v/>
      </c>
      <c r="J163" s="260">
        <f>[1]預算內選單資料來源!J163</f>
        <v/>
      </c>
      <c r="K163" s="260">
        <f>[1]預算內選單資料來源!K163</f>
        <v/>
      </c>
      <c r="L163" s="260">
        <f>[1]預算內選單資料來源!L163</f>
        <v/>
      </c>
    </row>
    <row r="164" ht="16.5" customHeight="1" s="124">
      <c r="A164" s="123">
        <f>[1]預算內選單資料來源!A164</f>
        <v/>
      </c>
      <c r="B164" s="260">
        <f>[1]預算內選單資料來源!B164</f>
        <v/>
      </c>
      <c r="C164" s="260">
        <f>[1]預算內選單資料來源!C164</f>
        <v/>
      </c>
      <c r="D164" s="260">
        <f>[1]預算內選單資料來源!D164</f>
        <v/>
      </c>
      <c r="E164" s="260">
        <f>[1]預算內選單資料來源!E164</f>
        <v/>
      </c>
      <c r="F164" s="260">
        <f>[1]預算內選單資料來源!F164</f>
        <v/>
      </c>
      <c r="G164" s="260">
        <f>[1]預算內選單資料來源!G164</f>
        <v/>
      </c>
      <c r="H164" s="260">
        <f>[1]預算內選單資料來源!H164</f>
        <v/>
      </c>
      <c r="I164" s="260">
        <f>[1]預算內選單資料來源!I164</f>
        <v/>
      </c>
      <c r="J164" s="260">
        <f>[1]預算內選單資料來源!J164</f>
        <v/>
      </c>
      <c r="K164" s="260">
        <f>[1]預算內選單資料來源!K164</f>
        <v/>
      </c>
      <c r="L164" s="260">
        <f>[1]預算內選單資料來源!L164</f>
        <v/>
      </c>
    </row>
    <row r="165" ht="16.5" customHeight="1" s="124">
      <c r="A165" s="123">
        <f>[1]預算內選單資料來源!A165</f>
        <v/>
      </c>
      <c r="B165" s="260">
        <f>[1]預算內選單資料來源!B165</f>
        <v/>
      </c>
      <c r="C165" s="260">
        <f>[1]預算內選單資料來源!C165</f>
        <v/>
      </c>
      <c r="D165" s="260">
        <f>[1]預算內選單資料來源!D165</f>
        <v/>
      </c>
      <c r="E165" s="260">
        <f>[1]預算內選單資料來源!E165</f>
        <v/>
      </c>
      <c r="F165" s="260">
        <f>[1]預算內選單資料來源!F165</f>
        <v/>
      </c>
      <c r="G165" s="260">
        <f>[1]預算內選單資料來源!G165</f>
        <v/>
      </c>
      <c r="H165" s="260">
        <f>[1]預算內選單資料來源!H165</f>
        <v/>
      </c>
      <c r="I165" s="260">
        <f>[1]預算內選單資料來源!I165</f>
        <v/>
      </c>
      <c r="J165" s="260">
        <f>[1]預算內選單資料來源!J165</f>
        <v/>
      </c>
      <c r="K165" s="260">
        <f>[1]預算內選單資料來源!K165</f>
        <v/>
      </c>
      <c r="L165" s="260">
        <f>[1]預算內選單資料來源!L165</f>
        <v/>
      </c>
    </row>
    <row r="166" ht="16.5" customHeight="1" s="124">
      <c r="A166" s="123">
        <f>[1]預算內選單資料來源!A166</f>
        <v/>
      </c>
      <c r="B166" s="260">
        <f>[1]預算內選單資料來源!B166</f>
        <v/>
      </c>
      <c r="C166" s="260">
        <f>[1]預算內選單資料來源!C166</f>
        <v/>
      </c>
      <c r="D166" s="260">
        <f>[1]預算內選單資料來源!D166</f>
        <v/>
      </c>
      <c r="E166" s="260">
        <f>[1]預算內選單資料來源!E166</f>
        <v/>
      </c>
      <c r="F166" s="260">
        <f>[1]預算內選單資料來源!F166</f>
        <v/>
      </c>
      <c r="G166" s="260">
        <f>[1]預算內選單資料來源!G166</f>
        <v/>
      </c>
      <c r="H166" s="260">
        <f>[1]預算內選單資料來源!H166</f>
        <v/>
      </c>
      <c r="I166" s="260">
        <f>[1]預算內選單資料來源!I166</f>
        <v/>
      </c>
      <c r="J166" s="260">
        <f>[1]預算內選單資料來源!J166</f>
        <v/>
      </c>
      <c r="K166" s="260">
        <f>[1]預算內選單資料來源!K166</f>
        <v/>
      </c>
      <c r="L166" s="260">
        <f>[1]預算內選單資料來源!L166</f>
        <v/>
      </c>
    </row>
    <row r="167" ht="16.5" customHeight="1" s="124">
      <c r="A167" s="123">
        <f>[1]預算內選單資料來源!A167</f>
        <v/>
      </c>
      <c r="B167" s="260">
        <f>[1]預算內選單資料來源!B167</f>
        <v/>
      </c>
      <c r="C167" s="260">
        <f>[1]預算內選單資料來源!C167</f>
        <v/>
      </c>
      <c r="D167" s="260">
        <f>[1]預算內選單資料來源!D167</f>
        <v/>
      </c>
      <c r="E167" s="260">
        <f>[1]預算內選單資料來源!E167</f>
        <v/>
      </c>
      <c r="F167" s="260">
        <f>[1]預算內選單資料來源!F167</f>
        <v/>
      </c>
      <c r="G167" s="260">
        <f>[1]預算內選單資料來源!G167</f>
        <v/>
      </c>
      <c r="H167" s="260">
        <f>[1]預算內選單資料來源!H167</f>
        <v/>
      </c>
      <c r="I167" s="260">
        <f>[1]預算內選單資料來源!I167</f>
        <v/>
      </c>
      <c r="J167" s="260">
        <f>[1]預算內選單資料來源!J167</f>
        <v/>
      </c>
      <c r="K167" s="260">
        <f>[1]預算內選單資料來源!K167</f>
        <v/>
      </c>
      <c r="L167" s="260">
        <f>[1]預算內選單資料來源!L167</f>
        <v/>
      </c>
    </row>
    <row r="168" ht="16.5" customHeight="1" s="124">
      <c r="A168" s="123">
        <f>[1]預算內選單資料來源!A168</f>
        <v/>
      </c>
      <c r="B168" s="260">
        <f>[1]預算內選單資料來源!B168</f>
        <v/>
      </c>
      <c r="C168" s="260">
        <f>[1]預算內選單資料來源!C168</f>
        <v/>
      </c>
      <c r="D168" s="260">
        <f>[1]預算內選單資料來源!D168</f>
        <v/>
      </c>
      <c r="E168" s="260">
        <f>[1]預算內選單資料來源!E168</f>
        <v/>
      </c>
      <c r="F168" s="260">
        <f>[1]預算內選單資料來源!F168</f>
        <v/>
      </c>
      <c r="G168" s="260">
        <f>[1]預算內選單資料來源!G168</f>
        <v/>
      </c>
      <c r="H168" s="260">
        <f>[1]預算內選單資料來源!H168</f>
        <v/>
      </c>
      <c r="I168" s="260">
        <f>[1]預算內選單資料來源!I168</f>
        <v/>
      </c>
      <c r="J168" s="260">
        <f>[1]預算內選單資料來源!J168</f>
        <v/>
      </c>
      <c r="K168" s="260">
        <f>[1]預算內選單資料來源!K168</f>
        <v/>
      </c>
      <c r="L168" s="260">
        <f>[1]預算內選單資料來源!L168</f>
        <v/>
      </c>
    </row>
    <row r="169" ht="16.5" customHeight="1" s="124">
      <c r="A169" s="123">
        <f>[1]預算內選單資料來源!A169</f>
        <v/>
      </c>
      <c r="B169" s="260">
        <f>[1]預算內選單資料來源!B169</f>
        <v/>
      </c>
      <c r="C169" s="260">
        <f>[1]預算內選單資料來源!C169</f>
        <v/>
      </c>
      <c r="D169" s="260">
        <f>[1]預算內選單資料來源!D169</f>
        <v/>
      </c>
      <c r="E169" s="260">
        <f>[1]預算內選單資料來源!E169</f>
        <v/>
      </c>
      <c r="F169" s="260">
        <f>[1]預算內選單資料來源!F169</f>
        <v/>
      </c>
      <c r="G169" s="260">
        <f>[1]預算內選單資料來源!G169</f>
        <v/>
      </c>
      <c r="H169" s="260">
        <f>[1]預算內選單資料來源!H169</f>
        <v/>
      </c>
      <c r="I169" s="260">
        <f>[1]預算內選單資料來源!I169</f>
        <v/>
      </c>
      <c r="J169" s="260">
        <f>[1]預算內選單資料來源!J169</f>
        <v/>
      </c>
      <c r="K169" s="260">
        <f>[1]預算內選單資料來源!K169</f>
        <v/>
      </c>
      <c r="L169" s="260">
        <f>[1]預算內選單資料來源!L169</f>
        <v/>
      </c>
    </row>
    <row r="170" ht="16.5" customHeight="1" s="124">
      <c r="A170" s="123">
        <f>[1]預算內選單資料來源!A170</f>
        <v/>
      </c>
      <c r="B170" s="260">
        <f>[1]預算內選單資料來源!B170</f>
        <v/>
      </c>
      <c r="C170" s="260">
        <f>[1]預算內選單資料來源!C170</f>
        <v/>
      </c>
      <c r="D170" s="260">
        <f>[1]預算內選單資料來源!D170</f>
        <v/>
      </c>
      <c r="E170" s="260">
        <f>[1]預算內選單資料來源!E170</f>
        <v/>
      </c>
      <c r="F170" s="260">
        <f>[1]預算內選單資料來源!F170</f>
        <v/>
      </c>
      <c r="G170" s="260">
        <f>[1]預算內選單資料來源!G170</f>
        <v/>
      </c>
      <c r="H170" s="260">
        <f>[1]預算內選單資料來源!H170</f>
        <v/>
      </c>
      <c r="I170" s="260">
        <f>[1]預算內選單資料來源!I170</f>
        <v/>
      </c>
      <c r="J170" s="260">
        <f>[1]預算內選單資料來源!J170</f>
        <v/>
      </c>
      <c r="K170" s="260">
        <f>[1]預算內選單資料來源!K170</f>
        <v/>
      </c>
      <c r="L170" s="260">
        <f>[1]預算內選單資料來源!L170</f>
        <v/>
      </c>
    </row>
    <row r="171" ht="16.5" customHeight="1" s="124">
      <c r="A171" s="123">
        <f>[1]預算內選單資料來源!A171</f>
        <v/>
      </c>
      <c r="B171" s="260">
        <f>[1]預算內選單資料來源!B171</f>
        <v/>
      </c>
      <c r="C171" s="260">
        <f>[1]預算內選單資料來源!C171</f>
        <v/>
      </c>
      <c r="D171" s="260">
        <f>[1]預算內選單資料來源!D171</f>
        <v/>
      </c>
      <c r="E171" s="260">
        <f>[1]預算內選單資料來源!E171</f>
        <v/>
      </c>
      <c r="F171" s="260">
        <f>[1]預算內選單資料來源!F171</f>
        <v/>
      </c>
      <c r="G171" s="260">
        <f>[1]預算內選單資料來源!G171</f>
        <v/>
      </c>
      <c r="H171" s="260">
        <f>[1]預算內選單資料來源!H171</f>
        <v/>
      </c>
      <c r="I171" s="260">
        <f>[1]預算內選單資料來源!I171</f>
        <v/>
      </c>
      <c r="J171" s="260">
        <f>[1]預算內選單資料來源!J171</f>
        <v/>
      </c>
      <c r="K171" s="260">
        <f>[1]預算內選單資料來源!K171</f>
        <v/>
      </c>
      <c r="L171" s="260">
        <f>[1]預算內選單資料來源!L171</f>
        <v/>
      </c>
    </row>
    <row r="172" ht="16.5" customHeight="1" s="124">
      <c r="A172" s="123">
        <f>[1]預算內選單資料來源!A172</f>
        <v/>
      </c>
      <c r="B172" s="260">
        <f>[1]預算內選單資料來源!B172</f>
        <v/>
      </c>
      <c r="C172" s="260">
        <f>[1]預算內選單資料來源!C172</f>
        <v/>
      </c>
      <c r="D172" s="260">
        <f>[1]預算內選單資料來源!D172</f>
        <v/>
      </c>
      <c r="E172" s="260">
        <f>[1]預算內選單資料來源!E172</f>
        <v/>
      </c>
      <c r="F172" s="260">
        <f>[1]預算內選單資料來源!F172</f>
        <v/>
      </c>
      <c r="G172" s="260">
        <f>[1]預算內選單資料來源!G172</f>
        <v/>
      </c>
      <c r="H172" s="260">
        <f>[1]預算內選單資料來源!H172</f>
        <v/>
      </c>
      <c r="I172" s="260">
        <f>[1]預算內選單資料來源!I172</f>
        <v/>
      </c>
      <c r="J172" s="260">
        <f>[1]預算內選單資料來源!J172</f>
        <v/>
      </c>
      <c r="K172" s="260">
        <f>[1]預算內選單資料來源!K172</f>
        <v/>
      </c>
      <c r="L172" s="260">
        <f>[1]預算內選單資料來源!L172</f>
        <v/>
      </c>
    </row>
    <row r="173" ht="16.5" customHeight="1" s="124">
      <c r="A173" s="123">
        <f>[1]預算內選單資料來源!A173</f>
        <v/>
      </c>
      <c r="B173" s="260">
        <f>[1]預算內選單資料來源!B173</f>
        <v/>
      </c>
      <c r="C173" s="260">
        <f>[1]預算內選單資料來源!C173</f>
        <v/>
      </c>
      <c r="D173" s="260">
        <f>[1]預算內選單資料來源!D173</f>
        <v/>
      </c>
      <c r="E173" s="260">
        <f>[1]預算內選單資料來源!E173</f>
        <v/>
      </c>
      <c r="F173" s="260">
        <f>[1]預算內選單資料來源!F173</f>
        <v/>
      </c>
      <c r="G173" s="260">
        <f>[1]預算內選單資料來源!G173</f>
        <v/>
      </c>
      <c r="H173" s="260">
        <f>[1]預算內選單資料來源!H173</f>
        <v/>
      </c>
      <c r="I173" s="260">
        <f>[1]預算內選單資料來源!I173</f>
        <v/>
      </c>
      <c r="J173" s="260">
        <f>[1]預算內選單資料來源!J173</f>
        <v/>
      </c>
      <c r="K173" s="260">
        <f>[1]預算內選單資料來源!K173</f>
        <v/>
      </c>
      <c r="L173" s="260">
        <f>[1]預算內選單資料來源!L173</f>
        <v/>
      </c>
    </row>
    <row r="174" ht="16.5" customHeight="1" s="124">
      <c r="A174" s="123">
        <f>[1]預算內選單資料來源!A174</f>
        <v/>
      </c>
      <c r="B174" s="260">
        <f>[1]預算內選單資料來源!B174</f>
        <v/>
      </c>
      <c r="C174" s="260">
        <f>[1]預算內選單資料來源!C174</f>
        <v/>
      </c>
      <c r="D174" s="260">
        <f>[1]預算內選單資料來源!D174</f>
        <v/>
      </c>
      <c r="E174" s="260">
        <f>[1]預算內選單資料來源!E174</f>
        <v/>
      </c>
      <c r="F174" s="260">
        <f>[1]預算內選單資料來源!F174</f>
        <v/>
      </c>
      <c r="G174" s="260">
        <f>[1]預算內選單資料來源!G174</f>
        <v/>
      </c>
      <c r="H174" s="260">
        <f>[1]預算內選單資料來源!H174</f>
        <v/>
      </c>
      <c r="I174" s="260">
        <f>[1]預算內選單資料來源!I174</f>
        <v/>
      </c>
      <c r="J174" s="260">
        <f>[1]預算內選單資料來源!J174</f>
        <v/>
      </c>
      <c r="K174" s="260">
        <f>[1]預算內選單資料來源!K174</f>
        <v/>
      </c>
      <c r="L174" s="260">
        <f>[1]預算內選單資料來源!L174</f>
        <v/>
      </c>
    </row>
    <row r="175" ht="16.5" customHeight="1" s="124">
      <c r="A175" s="123">
        <f>[1]預算內選單資料來源!A175</f>
        <v/>
      </c>
      <c r="B175" s="260">
        <f>[1]預算內選單資料來源!B175</f>
        <v/>
      </c>
      <c r="C175" s="260">
        <f>[1]預算內選單資料來源!C175</f>
        <v/>
      </c>
      <c r="D175" s="260">
        <f>[1]預算內選單資料來源!D175</f>
        <v/>
      </c>
      <c r="E175" s="260">
        <f>[1]預算內選單資料來源!E175</f>
        <v/>
      </c>
      <c r="F175" s="260">
        <f>[1]預算內選單資料來源!F175</f>
        <v/>
      </c>
      <c r="G175" s="260">
        <f>[1]預算內選單資料來源!G175</f>
        <v/>
      </c>
      <c r="H175" s="260">
        <f>[1]預算內選單資料來源!H175</f>
        <v/>
      </c>
      <c r="I175" s="260">
        <f>[1]預算內選單資料來源!I175</f>
        <v/>
      </c>
      <c r="J175" s="260">
        <f>[1]預算內選單資料來源!J175</f>
        <v/>
      </c>
      <c r="K175" s="260">
        <f>[1]預算內選單資料來源!K175</f>
        <v/>
      </c>
      <c r="L175" s="260">
        <f>[1]預算內選單資料來源!L175</f>
        <v/>
      </c>
    </row>
    <row r="176" ht="16.5" customHeight="1" s="124">
      <c r="A176" s="123">
        <f>[1]預算內選單資料來源!A176</f>
        <v/>
      </c>
      <c r="B176" s="260">
        <f>[1]預算內選單資料來源!B176</f>
        <v/>
      </c>
      <c r="C176" s="260">
        <f>[1]預算內選單資料來源!C176</f>
        <v/>
      </c>
      <c r="D176" s="260">
        <f>[1]預算內選單資料來源!D176</f>
        <v/>
      </c>
      <c r="E176" s="260">
        <f>[1]預算內選單資料來源!E176</f>
        <v/>
      </c>
      <c r="F176" s="260">
        <f>[1]預算內選單資料來源!F176</f>
        <v/>
      </c>
      <c r="G176" s="260">
        <f>[1]預算內選單資料來源!G176</f>
        <v/>
      </c>
      <c r="H176" s="260">
        <f>[1]預算內選單資料來源!H176</f>
        <v/>
      </c>
      <c r="I176" s="260">
        <f>[1]預算內選單資料來源!I176</f>
        <v/>
      </c>
      <c r="J176" s="260">
        <f>[1]預算內選單資料來源!J176</f>
        <v/>
      </c>
      <c r="K176" s="260">
        <f>[1]預算內選單資料來源!K176</f>
        <v/>
      </c>
      <c r="L176" s="260">
        <f>[1]預算內選單資料來源!L176</f>
        <v/>
      </c>
    </row>
    <row r="177" ht="16.5" customHeight="1" s="124">
      <c r="A177" s="123">
        <f>[1]預算內選單資料來源!A177</f>
        <v/>
      </c>
      <c r="B177" s="260">
        <f>[1]預算內選單資料來源!B177</f>
        <v/>
      </c>
      <c r="C177" s="260">
        <f>[1]預算內選單資料來源!C177</f>
        <v/>
      </c>
      <c r="D177" s="260">
        <f>[1]預算內選單資料來源!D177</f>
        <v/>
      </c>
      <c r="E177" s="260">
        <f>[1]預算內選單資料來源!E177</f>
        <v/>
      </c>
      <c r="F177" s="260">
        <f>[1]預算內選單資料來源!F177</f>
        <v/>
      </c>
      <c r="G177" s="260">
        <f>[1]預算內選單資料來源!G177</f>
        <v/>
      </c>
      <c r="H177" s="260">
        <f>[1]預算內選單資料來源!H177</f>
        <v/>
      </c>
      <c r="I177" s="260">
        <f>[1]預算內選單資料來源!I177</f>
        <v/>
      </c>
      <c r="J177" s="260">
        <f>[1]預算內選單資料來源!J177</f>
        <v/>
      </c>
      <c r="K177" s="260">
        <f>[1]預算內選單資料來源!K177</f>
        <v/>
      </c>
      <c r="L177" s="260">
        <f>[1]預算內選單資料來源!L177</f>
        <v/>
      </c>
    </row>
    <row r="178" ht="16.5" customHeight="1" s="124">
      <c r="A178" s="123">
        <f>[1]預算內選單資料來源!A178</f>
        <v/>
      </c>
      <c r="B178" s="260">
        <f>[1]預算內選單資料來源!B178</f>
        <v/>
      </c>
      <c r="C178" s="260">
        <f>[1]預算內選單資料來源!C178</f>
        <v/>
      </c>
      <c r="D178" s="260">
        <f>[1]預算內選單資料來源!D178</f>
        <v/>
      </c>
      <c r="E178" s="260">
        <f>[1]預算內選單資料來源!E178</f>
        <v/>
      </c>
      <c r="F178" s="260">
        <f>[1]預算內選單資料來源!F178</f>
        <v/>
      </c>
      <c r="G178" s="260">
        <f>[1]預算內選單資料來源!G178</f>
        <v/>
      </c>
      <c r="H178" s="260">
        <f>[1]預算內選單資料來源!H178</f>
        <v/>
      </c>
      <c r="I178" s="260">
        <f>[1]預算內選單資料來源!I178</f>
        <v/>
      </c>
      <c r="J178" s="260">
        <f>[1]預算內選單資料來源!J178</f>
        <v/>
      </c>
      <c r="K178" s="260">
        <f>[1]預算內選單資料來源!K178</f>
        <v/>
      </c>
      <c r="L178" s="260">
        <f>[1]預算內選單資料來源!L178</f>
        <v/>
      </c>
    </row>
    <row r="179" ht="16.5" customHeight="1" s="124">
      <c r="A179" s="123">
        <f>[1]預算內選單資料來源!A179</f>
        <v/>
      </c>
      <c r="B179" s="260">
        <f>[1]預算內選單資料來源!B179</f>
        <v/>
      </c>
      <c r="C179" s="260">
        <f>[1]預算內選單資料來源!C179</f>
        <v/>
      </c>
      <c r="D179" s="260">
        <f>[1]預算內選單資料來源!D179</f>
        <v/>
      </c>
      <c r="E179" s="260">
        <f>[1]預算內選單資料來源!E179</f>
        <v/>
      </c>
      <c r="F179" s="260">
        <f>[1]預算內選單資料來源!F179</f>
        <v/>
      </c>
      <c r="G179" s="260">
        <f>[1]預算內選單資料來源!G179</f>
        <v/>
      </c>
      <c r="H179" s="260">
        <f>[1]預算內選單資料來源!H179</f>
        <v/>
      </c>
      <c r="I179" s="260">
        <f>[1]預算內選單資料來源!I179</f>
        <v/>
      </c>
      <c r="J179" s="260">
        <f>[1]預算內選單資料來源!J179</f>
        <v/>
      </c>
      <c r="K179" s="260">
        <f>[1]預算內選單資料來源!K179</f>
        <v/>
      </c>
      <c r="L179" s="260">
        <f>[1]預算內選單資料來源!L179</f>
        <v/>
      </c>
    </row>
    <row r="180" ht="16.5" customHeight="1" s="124">
      <c r="A180" s="123">
        <f>[1]預算內選單資料來源!A180</f>
        <v/>
      </c>
      <c r="B180" s="260">
        <f>[1]預算內選單資料來源!B180</f>
        <v/>
      </c>
      <c r="C180" s="260">
        <f>[1]預算內選單資料來源!C180</f>
        <v/>
      </c>
      <c r="D180" s="260">
        <f>[1]預算內選單資料來源!D180</f>
        <v/>
      </c>
      <c r="E180" s="260">
        <f>[1]預算內選單資料來源!E180</f>
        <v/>
      </c>
      <c r="F180" s="260">
        <f>[1]預算內選單資料來源!F180</f>
        <v/>
      </c>
      <c r="G180" s="260">
        <f>[1]預算內選單資料來源!G180</f>
        <v/>
      </c>
      <c r="H180" s="260">
        <f>[1]預算內選單資料來源!H180</f>
        <v/>
      </c>
      <c r="I180" s="260">
        <f>[1]預算內選單資料來源!I180</f>
        <v/>
      </c>
      <c r="J180" s="260">
        <f>[1]預算內選單資料來源!J180</f>
        <v/>
      </c>
      <c r="K180" s="260">
        <f>[1]預算內選單資料來源!K180</f>
        <v/>
      </c>
      <c r="L180" s="260">
        <f>[1]預算內選單資料來源!L180</f>
        <v/>
      </c>
    </row>
    <row r="181" ht="16.5" customHeight="1" s="124">
      <c r="A181" s="123">
        <f>[1]預算內選單資料來源!A181</f>
        <v/>
      </c>
      <c r="B181" s="260">
        <f>[1]預算內選單資料來源!B181</f>
        <v/>
      </c>
      <c r="C181" s="260">
        <f>[1]預算內選單資料來源!C181</f>
        <v/>
      </c>
      <c r="D181" s="260">
        <f>[1]預算內選單資料來源!D181</f>
        <v/>
      </c>
      <c r="E181" s="260">
        <f>[1]預算內選單資料來源!E181</f>
        <v/>
      </c>
      <c r="F181" s="260">
        <f>[1]預算內選單資料來源!F181</f>
        <v/>
      </c>
      <c r="G181" s="260">
        <f>[1]預算內選單資料來源!G181</f>
        <v/>
      </c>
      <c r="H181" s="260">
        <f>[1]預算內選單資料來源!H181</f>
        <v/>
      </c>
      <c r="I181" s="260">
        <f>[1]預算內選單資料來源!I181</f>
        <v/>
      </c>
      <c r="J181" s="260">
        <f>[1]預算內選單資料來源!J181</f>
        <v/>
      </c>
      <c r="K181" s="260">
        <f>[1]預算內選單資料來源!K181</f>
        <v/>
      </c>
      <c r="L181" s="260">
        <f>[1]預算內選單資料來源!L181</f>
        <v/>
      </c>
    </row>
    <row r="182" ht="16.5" customHeight="1" s="124">
      <c r="A182" s="123">
        <f>[1]預算內選單資料來源!A182</f>
        <v/>
      </c>
      <c r="B182" s="260">
        <f>[1]預算內選單資料來源!B182</f>
        <v/>
      </c>
      <c r="C182" s="260">
        <f>[1]預算內選單資料來源!C182</f>
        <v/>
      </c>
      <c r="D182" s="260">
        <f>[1]預算內選單資料來源!D182</f>
        <v/>
      </c>
      <c r="E182" s="260">
        <f>[1]預算內選單資料來源!E182</f>
        <v/>
      </c>
      <c r="F182" s="260">
        <f>[1]預算內選單資料來源!F182</f>
        <v/>
      </c>
      <c r="G182" s="260">
        <f>[1]預算內選單資料來源!G182</f>
        <v/>
      </c>
      <c r="H182" s="260">
        <f>[1]預算內選單資料來源!H182</f>
        <v/>
      </c>
      <c r="I182" s="260">
        <f>[1]預算內選單資料來源!I182</f>
        <v/>
      </c>
      <c r="J182" s="260">
        <f>[1]預算內選單資料來源!J182</f>
        <v/>
      </c>
      <c r="K182" s="260">
        <f>[1]預算內選單資料來源!K182</f>
        <v/>
      </c>
      <c r="L182" s="260">
        <f>[1]預算內選單資料來源!L182</f>
        <v/>
      </c>
    </row>
    <row r="183" ht="16.5" customHeight="1" s="124">
      <c r="A183" s="123">
        <f>[1]預算內選單資料來源!A183</f>
        <v/>
      </c>
      <c r="B183" s="260">
        <f>[1]預算內選單資料來源!B183</f>
        <v/>
      </c>
      <c r="C183" s="260">
        <f>[1]預算內選單資料來源!C183</f>
        <v/>
      </c>
      <c r="D183" s="260">
        <f>[1]預算內選單資料來源!D183</f>
        <v/>
      </c>
      <c r="E183" s="260">
        <f>[1]預算內選單資料來源!E183</f>
        <v/>
      </c>
      <c r="F183" s="260">
        <f>[1]預算內選單資料來源!F183</f>
        <v/>
      </c>
      <c r="G183" s="260">
        <f>[1]預算內選單資料來源!G183</f>
        <v/>
      </c>
      <c r="H183" s="260">
        <f>[1]預算內選單資料來源!H183</f>
        <v/>
      </c>
      <c r="I183" s="260">
        <f>[1]預算內選單資料來源!I183</f>
        <v/>
      </c>
      <c r="J183" s="260">
        <f>[1]預算內選單資料來源!J183</f>
        <v/>
      </c>
      <c r="K183" s="260">
        <f>[1]預算內選單資料來源!K183</f>
        <v/>
      </c>
      <c r="L183" s="260">
        <f>[1]預算內選單資料來源!L183</f>
        <v/>
      </c>
    </row>
    <row r="184" ht="16.5" customHeight="1" s="124">
      <c r="A184" s="123">
        <f>[1]預算內選單資料來源!A184</f>
        <v/>
      </c>
      <c r="B184" s="260">
        <f>[1]預算內選單資料來源!B184</f>
        <v/>
      </c>
      <c r="C184" s="260">
        <f>[1]預算內選單資料來源!C184</f>
        <v/>
      </c>
      <c r="D184" s="260">
        <f>[1]預算內選單資料來源!D184</f>
        <v/>
      </c>
      <c r="E184" s="260">
        <f>[1]預算內選單資料來源!E184</f>
        <v/>
      </c>
      <c r="F184" s="260">
        <f>[1]預算內選單資料來源!F184</f>
        <v/>
      </c>
      <c r="G184" s="260">
        <f>[1]預算內選單資料來源!G184</f>
        <v/>
      </c>
      <c r="H184" s="260">
        <f>[1]預算內選單資料來源!H184</f>
        <v/>
      </c>
      <c r="I184" s="260">
        <f>[1]預算內選單資料來源!I184</f>
        <v/>
      </c>
      <c r="J184" s="260">
        <f>[1]預算內選單資料來源!J184</f>
        <v/>
      </c>
      <c r="K184" s="260">
        <f>[1]預算內選單資料來源!K184</f>
        <v/>
      </c>
      <c r="L184" s="260">
        <f>[1]預算內選單資料來源!L184</f>
        <v/>
      </c>
    </row>
    <row r="185" ht="16.5" customHeight="1" s="124">
      <c r="A185" s="123">
        <f>[1]預算內選單資料來源!A185</f>
        <v/>
      </c>
      <c r="B185" s="260">
        <f>[1]預算內選單資料來源!B185</f>
        <v/>
      </c>
      <c r="C185" s="260">
        <f>[1]預算內選單資料來源!C185</f>
        <v/>
      </c>
      <c r="D185" s="260">
        <f>[1]預算內選單資料來源!D185</f>
        <v/>
      </c>
      <c r="E185" s="260">
        <f>[1]預算內選單資料來源!E185</f>
        <v/>
      </c>
      <c r="F185" s="260">
        <f>[1]預算內選單資料來源!F185</f>
        <v/>
      </c>
      <c r="G185" s="260">
        <f>[1]預算內選單資料來源!G185</f>
        <v/>
      </c>
      <c r="H185" s="260">
        <f>[1]預算內選單資料來源!H185</f>
        <v/>
      </c>
      <c r="I185" s="260">
        <f>[1]預算內選單資料來源!I185</f>
        <v/>
      </c>
      <c r="J185" s="260">
        <f>[1]預算內選單資料來源!J185</f>
        <v/>
      </c>
      <c r="K185" s="260">
        <f>[1]預算內選單資料來源!K185</f>
        <v/>
      </c>
      <c r="L185" s="260">
        <f>[1]預算內選單資料來源!L185</f>
        <v/>
      </c>
    </row>
    <row r="186" ht="16.5" customHeight="1" s="124">
      <c r="A186" s="123">
        <f>[1]預算內選單資料來源!A186</f>
        <v/>
      </c>
      <c r="B186" s="260">
        <f>[1]預算內選單資料來源!B186</f>
        <v/>
      </c>
      <c r="C186" s="260">
        <f>[1]預算內選單資料來源!C186</f>
        <v/>
      </c>
      <c r="D186" s="260">
        <f>[1]預算內選單資料來源!D186</f>
        <v/>
      </c>
      <c r="E186" s="260">
        <f>[1]預算內選單資料來源!E186</f>
        <v/>
      </c>
      <c r="F186" s="260">
        <f>[1]預算內選單資料來源!F186</f>
        <v/>
      </c>
      <c r="G186" s="260">
        <f>[1]預算內選單資料來源!G186</f>
        <v/>
      </c>
      <c r="H186" s="260">
        <f>[1]預算內選單資料來源!H186</f>
        <v/>
      </c>
      <c r="I186" s="260">
        <f>[1]預算內選單資料來源!I186</f>
        <v/>
      </c>
      <c r="J186" s="260">
        <f>[1]預算內選單資料來源!J186</f>
        <v/>
      </c>
      <c r="K186" s="260">
        <f>[1]預算內選單資料來源!K186</f>
        <v/>
      </c>
      <c r="L186" s="260">
        <f>[1]預算內選單資料來源!L186</f>
        <v/>
      </c>
    </row>
    <row r="187" ht="16.5" customHeight="1" s="124">
      <c r="A187" s="123">
        <f>[1]預算內選單資料來源!A187</f>
        <v/>
      </c>
      <c r="B187" s="260">
        <f>[1]預算內選單資料來源!B187</f>
        <v/>
      </c>
      <c r="C187" s="260">
        <f>[1]預算內選單資料來源!C187</f>
        <v/>
      </c>
      <c r="D187" s="260">
        <f>[1]預算內選單資料來源!D187</f>
        <v/>
      </c>
      <c r="E187" s="260">
        <f>[1]預算內選單資料來源!E187</f>
        <v/>
      </c>
      <c r="F187" s="260">
        <f>[1]預算內選單資料來源!F187</f>
        <v/>
      </c>
      <c r="G187" s="260">
        <f>[1]預算內選單資料來源!G187</f>
        <v/>
      </c>
      <c r="H187" s="260">
        <f>[1]預算內選單資料來源!H187</f>
        <v/>
      </c>
      <c r="I187" s="260">
        <f>[1]預算內選單資料來源!I187</f>
        <v/>
      </c>
      <c r="J187" s="260">
        <f>[1]預算內選單資料來源!J187</f>
        <v/>
      </c>
      <c r="K187" s="260">
        <f>[1]預算內選單資料來源!K187</f>
        <v/>
      </c>
      <c r="L187" s="260">
        <f>[1]預算內選單資料來源!L187</f>
        <v/>
      </c>
    </row>
    <row r="188" ht="16.5" customHeight="1" s="124">
      <c r="A188" s="123">
        <f>[1]預算內選單資料來源!A188</f>
        <v/>
      </c>
      <c r="B188" s="260">
        <f>[1]預算內選單資料來源!B188</f>
        <v/>
      </c>
      <c r="C188" s="260">
        <f>[1]預算內選單資料來源!C188</f>
        <v/>
      </c>
      <c r="D188" s="260">
        <f>[1]預算內選單資料來源!D188</f>
        <v/>
      </c>
      <c r="E188" s="260">
        <f>[1]預算內選單資料來源!E188</f>
        <v/>
      </c>
      <c r="F188" s="260">
        <f>[1]預算內選單資料來源!F188</f>
        <v/>
      </c>
      <c r="G188" s="260">
        <f>[1]預算內選單資料來源!G188</f>
        <v/>
      </c>
      <c r="H188" s="260">
        <f>[1]預算內選單資料來源!H188</f>
        <v/>
      </c>
      <c r="I188" s="260">
        <f>[1]預算內選單資料來源!I188</f>
        <v/>
      </c>
      <c r="J188" s="260">
        <f>[1]預算內選單資料來源!J188</f>
        <v/>
      </c>
      <c r="K188" s="260">
        <f>[1]預算內選單資料來源!K188</f>
        <v/>
      </c>
      <c r="L188" s="260">
        <f>[1]預算內選單資料來源!L188</f>
        <v/>
      </c>
    </row>
    <row r="189" ht="16.5" customHeight="1" s="124">
      <c r="A189" s="123">
        <f>[1]預算內選單資料來源!A189</f>
        <v/>
      </c>
      <c r="B189" s="260">
        <f>[1]預算內選單資料來源!B189</f>
        <v/>
      </c>
      <c r="C189" s="260">
        <f>[1]預算內選單資料來源!C189</f>
        <v/>
      </c>
      <c r="D189" s="260">
        <f>[1]預算內選單資料來源!D189</f>
        <v/>
      </c>
      <c r="E189" s="260">
        <f>[1]預算內選單資料來源!E189</f>
        <v/>
      </c>
      <c r="F189" s="260">
        <f>[1]預算內選單資料來源!F189</f>
        <v/>
      </c>
      <c r="G189" s="260">
        <f>[1]預算內選單資料來源!G189</f>
        <v/>
      </c>
      <c r="H189" s="260">
        <f>[1]預算內選單資料來源!H189</f>
        <v/>
      </c>
      <c r="I189" s="260">
        <f>[1]預算內選單資料來源!I189</f>
        <v/>
      </c>
      <c r="J189" s="260">
        <f>[1]預算內選單資料來源!J189</f>
        <v/>
      </c>
      <c r="K189" s="260">
        <f>[1]預算內選單資料來源!K189</f>
        <v/>
      </c>
      <c r="L189" s="260">
        <f>[1]預算內選單資料來源!L189</f>
        <v/>
      </c>
    </row>
    <row r="190" ht="16.5" customHeight="1" s="124">
      <c r="A190" s="123">
        <f>[1]預算內選單資料來源!A190</f>
        <v/>
      </c>
      <c r="B190" s="260">
        <f>[1]預算內選單資料來源!B190</f>
        <v/>
      </c>
      <c r="C190" s="260">
        <f>[1]預算內選單資料來源!C190</f>
        <v/>
      </c>
      <c r="D190" s="260">
        <f>[1]預算內選單資料來源!D190</f>
        <v/>
      </c>
      <c r="E190" s="260">
        <f>[1]預算內選單資料來源!E190</f>
        <v/>
      </c>
      <c r="F190" s="260">
        <f>[1]預算內選單資料來源!F190</f>
        <v/>
      </c>
      <c r="G190" s="260">
        <f>[1]預算內選單資料來源!G190</f>
        <v/>
      </c>
      <c r="H190" s="260">
        <f>[1]預算內選單資料來源!H190</f>
        <v/>
      </c>
      <c r="I190" s="260">
        <f>[1]預算內選單資料來源!I190</f>
        <v/>
      </c>
      <c r="J190" s="260">
        <f>[1]預算內選單資料來源!J190</f>
        <v/>
      </c>
      <c r="K190" s="260">
        <f>[1]預算內選單資料來源!K190</f>
        <v/>
      </c>
      <c r="L190" s="260">
        <f>[1]預算內選單資料來源!L190</f>
        <v/>
      </c>
    </row>
    <row r="191" ht="16.5" customHeight="1" s="124">
      <c r="A191" s="123">
        <f>[1]預算內選單資料來源!A191</f>
        <v/>
      </c>
      <c r="B191" s="260">
        <f>[1]預算內選單資料來源!B191</f>
        <v/>
      </c>
      <c r="C191" s="260">
        <f>[1]預算內選單資料來源!C191</f>
        <v/>
      </c>
      <c r="D191" s="260">
        <f>[1]預算內選單資料來源!D191</f>
        <v/>
      </c>
      <c r="E191" s="260">
        <f>[1]預算內選單資料來源!E191</f>
        <v/>
      </c>
      <c r="F191" s="260">
        <f>[1]預算內選單資料來源!F191</f>
        <v/>
      </c>
      <c r="G191" s="260">
        <f>[1]預算內選單資料來源!G191</f>
        <v/>
      </c>
      <c r="H191" s="260">
        <f>[1]預算內選單資料來源!H191</f>
        <v/>
      </c>
      <c r="I191" s="260">
        <f>[1]預算內選單資料來源!I191</f>
        <v/>
      </c>
      <c r="J191" s="260">
        <f>[1]預算內選單資料來源!J191</f>
        <v/>
      </c>
      <c r="K191" s="260">
        <f>[1]預算內選單資料來源!K191</f>
        <v/>
      </c>
      <c r="L191" s="260">
        <f>[1]預算內選單資料來源!L191</f>
        <v/>
      </c>
    </row>
    <row r="192" ht="16.5" customHeight="1" s="124">
      <c r="A192" s="123">
        <f>[1]預算內選單資料來源!A192</f>
        <v/>
      </c>
      <c r="B192" s="260">
        <f>[1]預算內選單資料來源!B192</f>
        <v/>
      </c>
      <c r="C192" s="260">
        <f>[1]預算內選單資料來源!C192</f>
        <v/>
      </c>
      <c r="D192" s="260">
        <f>[1]預算內選單資料來源!D192</f>
        <v/>
      </c>
      <c r="E192" s="260">
        <f>[1]預算內選單資料來源!E192</f>
        <v/>
      </c>
      <c r="F192" s="260">
        <f>[1]預算內選單資料來源!F192</f>
        <v/>
      </c>
      <c r="G192" s="260">
        <f>[1]預算內選單資料來源!G192</f>
        <v/>
      </c>
      <c r="H192" s="260">
        <f>[1]預算內選單資料來源!H192</f>
        <v/>
      </c>
      <c r="I192" s="260">
        <f>[1]預算內選單資料來源!I192</f>
        <v/>
      </c>
      <c r="J192" s="260">
        <f>[1]預算內選單資料來源!J192</f>
        <v/>
      </c>
      <c r="K192" s="260">
        <f>[1]預算內選單資料來源!K192</f>
        <v/>
      </c>
      <c r="L192" s="260">
        <f>[1]預算內選單資料來源!L192</f>
        <v/>
      </c>
    </row>
    <row r="193" ht="16.5" customHeight="1" s="124">
      <c r="A193" s="123">
        <f>[1]預算內選單資料來源!A193</f>
        <v/>
      </c>
      <c r="B193" s="260">
        <f>[1]預算內選單資料來源!B193</f>
        <v/>
      </c>
      <c r="C193" s="260">
        <f>[1]預算內選單資料來源!C193</f>
        <v/>
      </c>
      <c r="D193" s="260">
        <f>[1]預算內選單資料來源!D193</f>
        <v/>
      </c>
      <c r="E193" s="260">
        <f>[1]預算內選單資料來源!E193</f>
        <v/>
      </c>
      <c r="F193" s="260">
        <f>[1]預算內選單資料來源!F193</f>
        <v/>
      </c>
      <c r="G193" s="260">
        <f>[1]預算內選單資料來源!G193</f>
        <v/>
      </c>
      <c r="H193" s="260">
        <f>[1]預算內選單資料來源!H193</f>
        <v/>
      </c>
      <c r="I193" s="260">
        <f>[1]預算內選單資料來源!I193</f>
        <v/>
      </c>
      <c r="J193" s="260">
        <f>[1]預算內選單資料來源!J193</f>
        <v/>
      </c>
      <c r="K193" s="260">
        <f>[1]預算內選單資料來源!K193</f>
        <v/>
      </c>
      <c r="L193" s="260">
        <f>[1]預算內選單資料來源!L193</f>
        <v/>
      </c>
    </row>
    <row r="194" ht="16.5" customHeight="1" s="124">
      <c r="A194" s="123">
        <f>[1]預算內選單資料來源!A194</f>
        <v/>
      </c>
      <c r="B194" s="260">
        <f>[1]預算內選單資料來源!B194</f>
        <v/>
      </c>
      <c r="C194" s="260">
        <f>[1]預算內選單資料來源!C194</f>
        <v/>
      </c>
      <c r="D194" s="260">
        <f>[1]預算內選單資料來源!D194</f>
        <v/>
      </c>
      <c r="E194" s="260">
        <f>[1]預算內選單資料來源!E194</f>
        <v/>
      </c>
      <c r="F194" s="260">
        <f>[1]預算內選單資料來源!F194</f>
        <v/>
      </c>
      <c r="G194" s="260">
        <f>[1]預算內選單資料來源!G194</f>
        <v/>
      </c>
      <c r="H194" s="260">
        <f>[1]預算內選單資料來源!H194</f>
        <v/>
      </c>
      <c r="I194" s="260">
        <f>[1]預算內選單資料來源!I194</f>
        <v/>
      </c>
      <c r="J194" s="260">
        <f>[1]預算內選單資料來源!J194</f>
        <v/>
      </c>
      <c r="K194" s="260">
        <f>[1]預算內選單資料來源!K194</f>
        <v/>
      </c>
      <c r="L194" s="260">
        <f>[1]預算內選單資料來源!L194</f>
        <v/>
      </c>
    </row>
    <row r="195" ht="16.5" customHeight="1" s="124">
      <c r="A195" s="123">
        <f>[1]預算內選單資料來源!A195</f>
        <v/>
      </c>
      <c r="B195" s="260">
        <f>[1]預算內選單資料來源!B195</f>
        <v/>
      </c>
      <c r="C195" s="260">
        <f>[1]預算內選單資料來源!C195</f>
        <v/>
      </c>
      <c r="D195" s="260">
        <f>[1]預算內選單資料來源!D195</f>
        <v/>
      </c>
      <c r="E195" s="260">
        <f>[1]預算內選單資料來源!E195</f>
        <v/>
      </c>
      <c r="F195" s="260">
        <f>[1]預算內選單資料來源!F195</f>
        <v/>
      </c>
      <c r="G195" s="260">
        <f>[1]預算內選單資料來源!G195</f>
        <v/>
      </c>
      <c r="H195" s="260">
        <f>[1]預算內選單資料來源!H195</f>
        <v/>
      </c>
      <c r="I195" s="260">
        <f>[1]預算內選單資料來源!I195</f>
        <v/>
      </c>
      <c r="J195" s="260">
        <f>[1]預算內選單資料來源!J195</f>
        <v/>
      </c>
      <c r="K195" s="260">
        <f>[1]預算內選單資料來源!K195</f>
        <v/>
      </c>
      <c r="L195" s="260">
        <f>[1]預算內選單資料來源!L195</f>
        <v/>
      </c>
    </row>
    <row r="196" ht="16.5" customHeight="1" s="124">
      <c r="A196" s="123">
        <f>[1]預算內選單資料來源!A196</f>
        <v/>
      </c>
      <c r="B196" s="260">
        <f>[1]預算內選單資料來源!B196</f>
        <v/>
      </c>
      <c r="C196" s="260">
        <f>[1]預算內選單資料來源!C196</f>
        <v/>
      </c>
      <c r="D196" s="260">
        <f>[1]預算內選單資料來源!D196</f>
        <v/>
      </c>
      <c r="E196" s="260">
        <f>[1]預算內選單資料來源!E196</f>
        <v/>
      </c>
      <c r="F196" s="260">
        <f>[1]預算內選單資料來源!F196</f>
        <v/>
      </c>
      <c r="G196" s="260">
        <f>[1]預算內選單資料來源!G196</f>
        <v/>
      </c>
      <c r="H196" s="260">
        <f>[1]預算內選單資料來源!H196</f>
        <v/>
      </c>
      <c r="I196" s="260">
        <f>[1]預算內選單資料來源!I196</f>
        <v/>
      </c>
      <c r="J196" s="260">
        <f>[1]預算內選單資料來源!J196</f>
        <v/>
      </c>
      <c r="K196" s="260">
        <f>[1]預算內選單資料來源!K196</f>
        <v/>
      </c>
      <c r="L196" s="260">
        <f>[1]預算內選單資料來源!L196</f>
        <v/>
      </c>
    </row>
    <row r="197" ht="16.5" customHeight="1" s="124">
      <c r="A197" s="123">
        <f>[1]預算內選單資料來源!A197</f>
        <v/>
      </c>
      <c r="B197" s="260">
        <f>[1]預算內選單資料來源!B197</f>
        <v/>
      </c>
      <c r="C197" s="260">
        <f>[1]預算內選單資料來源!C197</f>
        <v/>
      </c>
      <c r="D197" s="260">
        <f>[1]預算內選單資料來源!D197</f>
        <v/>
      </c>
      <c r="E197" s="260">
        <f>[1]預算內選單資料來源!E197</f>
        <v/>
      </c>
      <c r="F197" s="260">
        <f>[1]預算內選單資料來源!F197</f>
        <v/>
      </c>
      <c r="G197" s="260">
        <f>[1]預算內選單資料來源!G197</f>
        <v/>
      </c>
      <c r="H197" s="260">
        <f>[1]預算內選單資料來源!H197</f>
        <v/>
      </c>
      <c r="I197" s="260">
        <f>[1]預算內選單資料來源!I197</f>
        <v/>
      </c>
      <c r="J197" s="260">
        <f>[1]預算內選單資料來源!J197</f>
        <v/>
      </c>
      <c r="K197" s="260">
        <f>[1]預算內選單資料來源!K197</f>
        <v/>
      </c>
      <c r="L197" s="260">
        <f>[1]預算內選單資料來源!L197</f>
        <v/>
      </c>
    </row>
    <row r="198" ht="16.5" customHeight="1" s="124">
      <c r="A198" s="123">
        <f>[1]預算內選單資料來源!A198</f>
        <v/>
      </c>
      <c r="B198" s="260">
        <f>[1]預算內選單資料來源!B198</f>
        <v/>
      </c>
      <c r="C198" s="260">
        <f>[1]預算內選單資料來源!C198</f>
        <v/>
      </c>
      <c r="D198" s="260">
        <f>[1]預算內選單資料來源!D198</f>
        <v/>
      </c>
      <c r="E198" s="260">
        <f>[1]預算內選單資料來源!E198</f>
        <v/>
      </c>
      <c r="F198" s="260">
        <f>[1]預算內選單資料來源!F198</f>
        <v/>
      </c>
      <c r="G198" s="260">
        <f>[1]預算內選單資料來源!G198</f>
        <v/>
      </c>
      <c r="H198" s="260">
        <f>[1]預算內選單資料來源!H198</f>
        <v/>
      </c>
      <c r="I198" s="260">
        <f>[1]預算內選單資料來源!I198</f>
        <v/>
      </c>
      <c r="J198" s="260">
        <f>[1]預算內選單資料來源!J198</f>
        <v/>
      </c>
      <c r="K198" s="260">
        <f>[1]預算內選單資料來源!K198</f>
        <v/>
      </c>
      <c r="L198" s="260">
        <f>[1]預算內選單資料來源!L198</f>
        <v/>
      </c>
    </row>
    <row r="199" ht="16.5" customHeight="1" s="124">
      <c r="A199" s="123">
        <f>[1]預算內選單資料來源!A199</f>
        <v/>
      </c>
      <c r="B199" s="260">
        <f>[1]預算內選單資料來源!B199</f>
        <v/>
      </c>
      <c r="C199" s="260">
        <f>[1]預算內選單資料來源!C199</f>
        <v/>
      </c>
      <c r="D199" s="260">
        <f>[1]預算內選單資料來源!D199</f>
        <v/>
      </c>
      <c r="E199" s="260">
        <f>[1]預算內選單資料來源!E199</f>
        <v/>
      </c>
      <c r="F199" s="260">
        <f>[1]預算內選單資料來源!F199</f>
        <v/>
      </c>
      <c r="G199" s="260">
        <f>[1]預算內選單資料來源!G199</f>
        <v/>
      </c>
      <c r="H199" s="260">
        <f>[1]預算內選單資料來源!H199</f>
        <v/>
      </c>
      <c r="I199" s="260">
        <f>[1]預算內選單資料來源!I199</f>
        <v/>
      </c>
      <c r="J199" s="260">
        <f>[1]預算內選單資料來源!J199</f>
        <v/>
      </c>
      <c r="K199" s="260">
        <f>[1]預算內選單資料來源!K199</f>
        <v/>
      </c>
      <c r="L199" s="260">
        <f>[1]預算內選單資料來源!L199</f>
        <v/>
      </c>
    </row>
    <row r="200" ht="16.5" customHeight="1" s="124">
      <c r="A200" s="123">
        <f>[1]預算內選單資料來源!A200</f>
        <v/>
      </c>
      <c r="B200" s="260">
        <f>[1]預算內選單資料來源!B200</f>
        <v/>
      </c>
      <c r="C200" s="260">
        <f>[1]預算內選單資料來源!C200</f>
        <v/>
      </c>
      <c r="D200" s="260">
        <f>[1]預算內選單資料來源!D200</f>
        <v/>
      </c>
      <c r="E200" s="260">
        <f>[1]預算內選單資料來源!E200</f>
        <v/>
      </c>
      <c r="F200" s="260">
        <f>[1]預算內選單資料來源!F200</f>
        <v/>
      </c>
      <c r="G200" s="260">
        <f>[1]預算內選單資料來源!G200</f>
        <v/>
      </c>
      <c r="H200" s="260">
        <f>[1]預算內選單資料來源!H200</f>
        <v/>
      </c>
      <c r="I200" s="260">
        <f>[1]預算內選單資料來源!I200</f>
        <v/>
      </c>
      <c r="J200" s="260">
        <f>[1]預算內選單資料來源!J200</f>
        <v/>
      </c>
      <c r="K200" s="260">
        <f>[1]預算內選單資料來源!K200</f>
        <v/>
      </c>
      <c r="L200" s="260">
        <f>[1]預算內選單資料來源!L200</f>
        <v/>
      </c>
    </row>
    <row r="201" ht="16.5" customHeight="1" s="124">
      <c r="A201" s="123">
        <f>[1]預算內選單資料來源!A201</f>
        <v/>
      </c>
      <c r="B201" s="260">
        <f>[1]預算內選單資料來源!B201</f>
        <v/>
      </c>
      <c r="C201" s="260">
        <f>[1]預算內選單資料來源!C201</f>
        <v/>
      </c>
      <c r="D201" s="260">
        <f>[1]預算內選單資料來源!D201</f>
        <v/>
      </c>
      <c r="E201" s="260">
        <f>[1]預算內選單資料來源!E201</f>
        <v/>
      </c>
      <c r="F201" s="260">
        <f>[1]預算內選單資料來源!F201</f>
        <v/>
      </c>
      <c r="G201" s="260">
        <f>[1]預算內選單資料來源!G201</f>
        <v/>
      </c>
      <c r="H201" s="260">
        <f>[1]預算內選單資料來源!H201</f>
        <v/>
      </c>
      <c r="I201" s="260">
        <f>[1]預算內選單資料來源!I201</f>
        <v/>
      </c>
      <c r="J201" s="260">
        <f>[1]預算內選單資料來源!J201</f>
        <v/>
      </c>
      <c r="K201" s="260">
        <f>[1]預算內選單資料來源!K201</f>
        <v/>
      </c>
      <c r="L201" s="260">
        <f>[1]預算內選單資料來源!L201</f>
        <v/>
      </c>
    </row>
    <row r="202" ht="16.5" customHeight="1" s="124">
      <c r="A202" s="123">
        <f>[1]預算內選單資料來源!A202</f>
        <v/>
      </c>
      <c r="B202" s="260">
        <f>[1]預算內選單資料來源!B202</f>
        <v/>
      </c>
      <c r="C202" s="260">
        <f>[1]預算內選單資料來源!C202</f>
        <v/>
      </c>
      <c r="D202" s="260">
        <f>[1]預算內選單資料來源!D202</f>
        <v/>
      </c>
      <c r="E202" s="260">
        <f>[1]預算內選單資料來源!E202</f>
        <v/>
      </c>
      <c r="F202" s="260">
        <f>[1]預算內選單資料來源!F202</f>
        <v/>
      </c>
      <c r="G202" s="260">
        <f>[1]預算內選單資料來源!G202</f>
        <v/>
      </c>
      <c r="H202" s="260">
        <f>[1]預算內選單資料來源!H202</f>
        <v/>
      </c>
      <c r="I202" s="260">
        <f>[1]預算內選單資料來源!I202</f>
        <v/>
      </c>
      <c r="J202" s="260">
        <f>[1]預算內選單資料來源!J202</f>
        <v/>
      </c>
      <c r="K202" s="260">
        <f>[1]預算內選單資料來源!K202</f>
        <v/>
      </c>
      <c r="L202" s="260">
        <f>[1]預算內選單資料來源!L202</f>
        <v/>
      </c>
    </row>
    <row r="203" ht="16.5" customHeight="1" s="124">
      <c r="A203" s="123">
        <f>[1]預算內選單資料來源!A203</f>
        <v/>
      </c>
      <c r="B203" s="260">
        <f>[1]預算內選單資料來源!B203</f>
        <v/>
      </c>
      <c r="C203" s="260">
        <f>[1]預算內選單資料來源!C203</f>
        <v/>
      </c>
      <c r="D203" s="260">
        <f>[1]預算內選單資料來源!D203</f>
        <v/>
      </c>
      <c r="E203" s="260">
        <f>[1]預算內選單資料來源!E203</f>
        <v/>
      </c>
      <c r="F203" s="260">
        <f>[1]預算內選單資料來源!F203</f>
        <v/>
      </c>
      <c r="G203" s="260">
        <f>[1]預算內選單資料來源!G203</f>
        <v/>
      </c>
      <c r="H203" s="260">
        <f>[1]預算內選單資料來源!H203</f>
        <v/>
      </c>
      <c r="I203" s="260">
        <f>[1]預算內選單資料來源!I203</f>
        <v/>
      </c>
      <c r="J203" s="260">
        <f>[1]預算內選單資料來源!J203</f>
        <v/>
      </c>
      <c r="K203" s="260">
        <f>[1]預算內選單資料來源!K203</f>
        <v/>
      </c>
      <c r="L203" s="260">
        <f>[1]預算內選單資料來源!L203</f>
        <v/>
      </c>
    </row>
    <row r="204" ht="16.5" customHeight="1" s="124">
      <c r="A204" s="123">
        <f>[1]預算內選單資料來源!A204</f>
        <v/>
      </c>
      <c r="B204" s="260">
        <f>[1]預算內選單資料來源!B204</f>
        <v/>
      </c>
      <c r="C204" s="260">
        <f>[1]預算內選單資料來源!C204</f>
        <v/>
      </c>
      <c r="D204" s="260">
        <f>[1]預算內選單資料來源!D204</f>
        <v/>
      </c>
      <c r="E204" s="260">
        <f>[1]預算內選單資料來源!E204</f>
        <v/>
      </c>
      <c r="F204" s="260">
        <f>[1]預算內選單資料來源!F204</f>
        <v/>
      </c>
      <c r="G204" s="260">
        <f>[1]預算內選單資料來源!G204</f>
        <v/>
      </c>
      <c r="H204" s="260">
        <f>[1]預算內選單資料來源!H204</f>
        <v/>
      </c>
      <c r="I204" s="260">
        <f>[1]預算內選單資料來源!I204</f>
        <v/>
      </c>
      <c r="J204" s="260">
        <f>[1]預算內選單資料來源!J204</f>
        <v/>
      </c>
      <c r="K204" s="260">
        <f>[1]預算內選單資料來源!K204</f>
        <v/>
      </c>
      <c r="L204" s="260">
        <f>[1]預算內選單資料來源!L204</f>
        <v/>
      </c>
    </row>
    <row r="205" ht="16.5" customHeight="1" s="124">
      <c r="A205" s="123">
        <f>[1]預算內選單資料來源!A205</f>
        <v/>
      </c>
      <c r="B205" s="260">
        <f>[1]預算內選單資料來源!B205</f>
        <v/>
      </c>
      <c r="C205" s="260">
        <f>[1]預算內選單資料來源!C205</f>
        <v/>
      </c>
      <c r="D205" s="260">
        <f>[1]預算內選單資料來源!D205</f>
        <v/>
      </c>
      <c r="E205" s="260">
        <f>[1]預算內選單資料來源!E205</f>
        <v/>
      </c>
      <c r="F205" s="260">
        <f>[1]預算內選單資料來源!F205</f>
        <v/>
      </c>
      <c r="G205" s="260">
        <f>[1]預算內選單資料來源!G205</f>
        <v/>
      </c>
      <c r="H205" s="260">
        <f>[1]預算內選單資料來源!H205</f>
        <v/>
      </c>
      <c r="I205" s="260">
        <f>[1]預算內選單資料來源!I205</f>
        <v/>
      </c>
      <c r="J205" s="260">
        <f>[1]預算內選單資料來源!J205</f>
        <v/>
      </c>
      <c r="K205" s="260">
        <f>[1]預算內選單資料來源!K205</f>
        <v/>
      </c>
      <c r="L205" s="260">
        <f>[1]預算內選單資料來源!L205</f>
        <v/>
      </c>
    </row>
    <row r="206" ht="16.5" customHeight="1" s="124">
      <c r="A206" s="123">
        <f>[1]預算內選單資料來源!A206</f>
        <v/>
      </c>
      <c r="B206" s="260">
        <f>[1]預算內選單資料來源!B206</f>
        <v/>
      </c>
      <c r="C206" s="260">
        <f>[1]預算內選單資料來源!C206</f>
        <v/>
      </c>
      <c r="D206" s="260">
        <f>[1]預算內選單資料來源!D206</f>
        <v/>
      </c>
      <c r="E206" s="260">
        <f>[1]預算內選單資料來源!E206</f>
        <v/>
      </c>
      <c r="F206" s="260">
        <f>[1]預算內選單資料來源!F206</f>
        <v/>
      </c>
      <c r="G206" s="260">
        <f>[1]預算內選單資料來源!G206</f>
        <v/>
      </c>
      <c r="H206" s="260">
        <f>[1]預算內選單資料來源!H206</f>
        <v/>
      </c>
      <c r="I206" s="260">
        <f>[1]預算內選單資料來源!I206</f>
        <v/>
      </c>
      <c r="J206" s="260">
        <f>[1]預算內選單資料來源!J206</f>
        <v/>
      </c>
      <c r="K206" s="260">
        <f>[1]預算內選單資料來源!K206</f>
        <v/>
      </c>
      <c r="L206" s="260">
        <f>[1]預算內選單資料來源!L206</f>
        <v/>
      </c>
    </row>
    <row r="207" ht="16.5" customHeight="1" s="124">
      <c r="A207" s="123">
        <f>[1]預算內選單資料來源!A207</f>
        <v/>
      </c>
      <c r="B207" s="260">
        <f>[1]預算內選單資料來源!B207</f>
        <v/>
      </c>
      <c r="C207" s="260">
        <f>[1]預算內選單資料來源!C207</f>
        <v/>
      </c>
      <c r="D207" s="260">
        <f>[1]預算內選單資料來源!D207</f>
        <v/>
      </c>
      <c r="E207" s="260">
        <f>[1]預算內選單資料來源!E207</f>
        <v/>
      </c>
      <c r="F207" s="260">
        <f>[1]預算內選單資料來源!F207</f>
        <v/>
      </c>
      <c r="G207" s="260">
        <f>[1]預算內選單資料來源!G207</f>
        <v/>
      </c>
      <c r="H207" s="260">
        <f>[1]預算內選單資料來源!H207</f>
        <v/>
      </c>
      <c r="I207" s="260">
        <f>[1]預算內選單資料來源!I207</f>
        <v/>
      </c>
      <c r="J207" s="260">
        <f>[1]預算內選單資料來源!J207</f>
        <v/>
      </c>
      <c r="K207" s="260">
        <f>[1]預算內選單資料來源!K207</f>
        <v/>
      </c>
      <c r="L207" s="260">
        <f>[1]預算內選單資料來源!L207</f>
        <v/>
      </c>
    </row>
    <row r="208" ht="16.5" customHeight="1" s="124">
      <c r="A208" s="123">
        <f>[1]預算內選單資料來源!A208</f>
        <v/>
      </c>
      <c r="B208" s="260">
        <f>[1]預算內選單資料來源!B208</f>
        <v/>
      </c>
      <c r="C208" s="260">
        <f>[1]預算內選單資料來源!C208</f>
        <v/>
      </c>
      <c r="D208" s="260">
        <f>[1]預算內選單資料來源!D208</f>
        <v/>
      </c>
      <c r="E208" s="260">
        <f>[1]預算內選單資料來源!E208</f>
        <v/>
      </c>
      <c r="F208" s="260">
        <f>[1]預算內選單資料來源!F208</f>
        <v/>
      </c>
      <c r="G208" s="260">
        <f>[1]預算內選單資料來源!G208</f>
        <v/>
      </c>
      <c r="H208" s="260">
        <f>[1]預算內選單資料來源!H208</f>
        <v/>
      </c>
      <c r="I208" s="260">
        <f>[1]預算內選單資料來源!I208</f>
        <v/>
      </c>
      <c r="J208" s="260">
        <f>[1]預算內選單資料來源!J208</f>
        <v/>
      </c>
      <c r="K208" s="260">
        <f>[1]預算內選單資料來源!K208</f>
        <v/>
      </c>
      <c r="L208" s="260">
        <f>[1]預算內選單資料來源!L208</f>
        <v/>
      </c>
    </row>
    <row r="209" ht="16.5" customHeight="1" s="124">
      <c r="A209" s="123">
        <f>[1]預算內選單資料來源!A209</f>
        <v/>
      </c>
      <c r="B209" s="260">
        <f>[1]預算內選單資料來源!B209</f>
        <v/>
      </c>
      <c r="C209" s="260">
        <f>[1]預算內選單資料來源!C209</f>
        <v/>
      </c>
      <c r="D209" s="260">
        <f>[1]預算內選單資料來源!D209</f>
        <v/>
      </c>
      <c r="E209" s="260">
        <f>[1]預算內選單資料來源!E209</f>
        <v/>
      </c>
      <c r="F209" s="260">
        <f>[1]預算內選單資料來源!F209</f>
        <v/>
      </c>
      <c r="G209" s="260">
        <f>[1]預算內選單資料來源!G209</f>
        <v/>
      </c>
      <c r="H209" s="260">
        <f>[1]預算內選單資料來源!H209</f>
        <v/>
      </c>
      <c r="I209" s="260">
        <f>[1]預算內選單資料來源!I209</f>
        <v/>
      </c>
      <c r="J209" s="260">
        <f>[1]預算內選單資料來源!J209</f>
        <v/>
      </c>
      <c r="K209" s="260">
        <f>[1]預算內選單資料來源!K209</f>
        <v/>
      </c>
      <c r="L209" s="260">
        <f>[1]預算內選單資料來源!L209</f>
        <v/>
      </c>
    </row>
    <row r="210" ht="16.5" customHeight="1" s="124">
      <c r="A210" s="123">
        <f>[1]預算內選單資料來源!A210</f>
        <v/>
      </c>
      <c r="B210" s="260">
        <f>[1]預算內選單資料來源!B210</f>
        <v/>
      </c>
      <c r="C210" s="260">
        <f>[1]預算內選單資料來源!C210</f>
        <v/>
      </c>
      <c r="D210" s="260">
        <f>[1]預算內選單資料來源!D210</f>
        <v/>
      </c>
      <c r="E210" s="260">
        <f>[1]預算內選單資料來源!E210</f>
        <v/>
      </c>
      <c r="F210" s="260">
        <f>[1]預算內選單資料來源!F210</f>
        <v/>
      </c>
      <c r="G210" s="260">
        <f>[1]預算內選單資料來源!G210</f>
        <v/>
      </c>
      <c r="H210" s="260">
        <f>[1]預算內選單資料來源!H210</f>
        <v/>
      </c>
      <c r="I210" s="260">
        <f>[1]預算內選單資料來源!I210</f>
        <v/>
      </c>
      <c r="J210" s="260">
        <f>[1]預算內選單資料來源!J210</f>
        <v/>
      </c>
      <c r="K210" s="260">
        <f>[1]預算內選單資料來源!K210</f>
        <v/>
      </c>
      <c r="L210" s="260">
        <f>[1]預算內選單資料來源!L210</f>
        <v/>
      </c>
    </row>
    <row r="211" ht="16.5" customHeight="1" s="124">
      <c r="A211" s="123">
        <f>[1]預算內選單資料來源!A211</f>
        <v/>
      </c>
      <c r="B211" s="260">
        <f>[1]預算內選單資料來源!B211</f>
        <v/>
      </c>
      <c r="C211" s="260">
        <f>[1]預算內選單資料來源!C211</f>
        <v/>
      </c>
      <c r="D211" s="260">
        <f>[1]預算內選單資料來源!D211</f>
        <v/>
      </c>
      <c r="E211" s="260">
        <f>[1]預算內選單資料來源!E211</f>
        <v/>
      </c>
      <c r="F211" s="260">
        <f>[1]預算內選單資料來源!F211</f>
        <v/>
      </c>
      <c r="G211" s="260">
        <f>[1]預算內選單資料來源!G211</f>
        <v/>
      </c>
      <c r="H211" s="260">
        <f>[1]預算內選單資料來源!H211</f>
        <v/>
      </c>
      <c r="I211" s="260">
        <f>[1]預算內選單資料來源!I211</f>
        <v/>
      </c>
      <c r="J211" s="260">
        <f>[1]預算內選單資料來源!J211</f>
        <v/>
      </c>
      <c r="K211" s="260">
        <f>[1]預算內選單資料來源!K211</f>
        <v/>
      </c>
      <c r="L211" s="260">
        <f>[1]預算內選單資料來源!L211</f>
        <v/>
      </c>
    </row>
    <row r="212" ht="16.5" customHeight="1" s="124">
      <c r="A212" s="123">
        <f>[1]預算內選單資料來源!A212</f>
        <v/>
      </c>
      <c r="B212" s="260">
        <f>[1]預算內選單資料來源!B212</f>
        <v/>
      </c>
      <c r="C212" s="260">
        <f>[1]預算內選單資料來源!C212</f>
        <v/>
      </c>
      <c r="D212" s="260">
        <f>[1]預算內選單資料來源!D212</f>
        <v/>
      </c>
      <c r="E212" s="260">
        <f>[1]預算內選單資料來源!E212</f>
        <v/>
      </c>
      <c r="F212" s="260">
        <f>[1]預算內選單資料來源!F212</f>
        <v/>
      </c>
      <c r="G212" s="260">
        <f>[1]預算內選單資料來源!G212</f>
        <v/>
      </c>
      <c r="H212" s="260">
        <f>[1]預算內選單資料來源!H212</f>
        <v/>
      </c>
      <c r="I212" s="260">
        <f>[1]預算內選單資料來源!I212</f>
        <v/>
      </c>
      <c r="J212" s="260">
        <f>[1]預算內選單資料來源!J212</f>
        <v/>
      </c>
      <c r="K212" s="260">
        <f>[1]預算內選單資料來源!K212</f>
        <v/>
      </c>
      <c r="L212" s="260">
        <f>[1]預算內選單資料來源!L212</f>
        <v/>
      </c>
    </row>
    <row r="213" ht="16.5" customHeight="1" s="124">
      <c r="A213" s="123">
        <f>[1]預算內選單資料來源!A213</f>
        <v/>
      </c>
      <c r="B213" s="260">
        <f>[1]預算內選單資料來源!B213</f>
        <v/>
      </c>
      <c r="C213" s="260">
        <f>[1]預算內選單資料來源!C213</f>
        <v/>
      </c>
      <c r="D213" s="260">
        <f>[1]預算內選單資料來源!D213</f>
        <v/>
      </c>
      <c r="E213" s="260">
        <f>[1]預算內選單資料來源!E213</f>
        <v/>
      </c>
      <c r="F213" s="260">
        <f>[1]預算內選單資料來源!F213</f>
        <v/>
      </c>
      <c r="G213" s="260">
        <f>[1]預算內選單資料來源!G213</f>
        <v/>
      </c>
      <c r="H213" s="260">
        <f>[1]預算內選單資料來源!H213</f>
        <v/>
      </c>
      <c r="I213" s="260">
        <f>[1]預算內選單資料來源!I213</f>
        <v/>
      </c>
      <c r="J213" s="260">
        <f>[1]預算內選單資料來源!J213</f>
        <v/>
      </c>
      <c r="K213" s="260">
        <f>[1]預算內選單資料來源!K213</f>
        <v/>
      </c>
      <c r="L213" s="260">
        <f>[1]預算內選單資料來源!L213</f>
        <v/>
      </c>
    </row>
    <row r="214" ht="16.5" customHeight="1" s="124">
      <c r="A214" s="123">
        <f>[1]預算內選單資料來源!A214</f>
        <v/>
      </c>
      <c r="B214" s="260">
        <f>[1]預算內選單資料來源!B214</f>
        <v/>
      </c>
      <c r="C214" s="260">
        <f>[1]預算內選單資料來源!C214</f>
        <v/>
      </c>
      <c r="D214" s="260">
        <f>[1]預算內選單資料來源!D214</f>
        <v/>
      </c>
      <c r="E214" s="260">
        <f>[1]預算內選單資料來源!E214</f>
        <v/>
      </c>
      <c r="F214" s="260">
        <f>[1]預算內選單資料來源!F214</f>
        <v/>
      </c>
      <c r="G214" s="260">
        <f>[1]預算內選單資料來源!G214</f>
        <v/>
      </c>
      <c r="H214" s="260">
        <f>[1]預算內選單資料來源!H214</f>
        <v/>
      </c>
      <c r="I214" s="260">
        <f>[1]預算內選單資料來源!I214</f>
        <v/>
      </c>
      <c r="J214" s="260">
        <f>[1]預算內選單資料來源!J214</f>
        <v/>
      </c>
      <c r="K214" s="260">
        <f>[1]預算內選單資料來源!K214</f>
        <v/>
      </c>
      <c r="L214" s="260">
        <f>[1]預算內選單資料來源!L214</f>
        <v/>
      </c>
    </row>
    <row r="215" ht="16.5" customHeight="1" s="124">
      <c r="A215" s="123">
        <f>[1]預算內選單資料來源!A215</f>
        <v/>
      </c>
      <c r="B215" s="260">
        <f>[1]預算內選單資料來源!B215</f>
        <v/>
      </c>
      <c r="C215" s="260">
        <f>[1]預算內選單資料來源!C215</f>
        <v/>
      </c>
      <c r="D215" s="260">
        <f>[1]預算內選單資料來源!D215</f>
        <v/>
      </c>
      <c r="E215" s="260">
        <f>[1]預算內選單資料來源!E215</f>
        <v/>
      </c>
      <c r="F215" s="260">
        <f>[1]預算內選單資料來源!F215</f>
        <v/>
      </c>
      <c r="G215" s="260">
        <f>[1]預算內選單資料來源!G215</f>
        <v/>
      </c>
      <c r="H215" s="260">
        <f>[1]預算內選單資料來源!H215</f>
        <v/>
      </c>
      <c r="I215" s="260">
        <f>[1]預算內選單資料來源!I215</f>
        <v/>
      </c>
      <c r="J215" s="260">
        <f>[1]預算內選單資料來源!J215</f>
        <v/>
      </c>
      <c r="K215" s="260">
        <f>[1]預算內選單資料來源!K215</f>
        <v/>
      </c>
      <c r="L215" s="260">
        <f>[1]預算內選單資料來源!L215</f>
        <v/>
      </c>
    </row>
    <row r="216" ht="16.5" customHeight="1" s="124">
      <c r="A216" s="123">
        <f>[1]預算內選單資料來源!A216</f>
        <v/>
      </c>
      <c r="B216" s="260">
        <f>[1]預算內選單資料來源!B216</f>
        <v/>
      </c>
      <c r="C216" s="260">
        <f>[1]預算內選單資料來源!C216</f>
        <v/>
      </c>
      <c r="D216" s="260">
        <f>[1]預算內選單資料來源!D216</f>
        <v/>
      </c>
      <c r="E216" s="260">
        <f>[1]預算內選單資料來源!E216</f>
        <v/>
      </c>
      <c r="F216" s="260">
        <f>[1]預算內選單資料來源!F216</f>
        <v/>
      </c>
      <c r="G216" s="260">
        <f>[1]預算內選單資料來源!G216</f>
        <v/>
      </c>
      <c r="H216" s="260">
        <f>[1]預算內選單資料來源!H216</f>
        <v/>
      </c>
      <c r="I216" s="260">
        <f>[1]預算內選單資料來源!I216</f>
        <v/>
      </c>
      <c r="J216" s="260">
        <f>[1]預算內選單資料來源!J216</f>
        <v/>
      </c>
      <c r="K216" s="260">
        <f>[1]預算內選單資料來源!K216</f>
        <v/>
      </c>
      <c r="L216" s="260">
        <f>[1]預算內選單資料來源!L216</f>
        <v/>
      </c>
    </row>
    <row r="217" ht="16.5" customHeight="1" s="124">
      <c r="A217" s="123">
        <f>[1]預算內選單資料來源!A217</f>
        <v/>
      </c>
      <c r="B217" s="260">
        <f>[1]預算內選單資料來源!B217</f>
        <v/>
      </c>
      <c r="C217" s="260">
        <f>[1]預算內選單資料來源!C217</f>
        <v/>
      </c>
      <c r="D217" s="260">
        <f>[1]預算內選單資料來源!D217</f>
        <v/>
      </c>
      <c r="E217" s="260">
        <f>[1]預算內選單資料來源!E217</f>
        <v/>
      </c>
      <c r="F217" s="260">
        <f>[1]預算內選單資料來源!F217</f>
        <v/>
      </c>
      <c r="G217" s="260">
        <f>[1]預算內選單資料來源!G217</f>
        <v/>
      </c>
      <c r="H217" s="260">
        <f>[1]預算內選單資料來源!H217</f>
        <v/>
      </c>
      <c r="I217" s="260">
        <f>[1]預算內選單資料來源!I217</f>
        <v/>
      </c>
      <c r="J217" s="260">
        <f>[1]預算內選單資料來源!J217</f>
        <v/>
      </c>
      <c r="K217" s="260">
        <f>[1]預算內選單資料來源!K217</f>
        <v/>
      </c>
      <c r="L217" s="260">
        <f>[1]預算內選單資料來源!L217</f>
        <v/>
      </c>
    </row>
    <row r="218" ht="16.5" customHeight="1" s="124">
      <c r="A218" s="123">
        <f>[1]預算內選單資料來源!A218</f>
        <v/>
      </c>
      <c r="B218" s="260">
        <f>[1]預算內選單資料來源!B218</f>
        <v/>
      </c>
      <c r="C218" s="260">
        <f>[1]預算內選單資料來源!C218</f>
        <v/>
      </c>
      <c r="D218" s="260">
        <f>[1]預算內選單資料來源!D218</f>
        <v/>
      </c>
      <c r="E218" s="260">
        <f>[1]預算內選單資料來源!E218</f>
        <v/>
      </c>
      <c r="F218" s="260">
        <f>[1]預算內選單資料來源!F218</f>
        <v/>
      </c>
      <c r="G218" s="260">
        <f>[1]預算內選單資料來源!G218</f>
        <v/>
      </c>
      <c r="H218" s="260">
        <f>[1]預算內選單資料來源!H218</f>
        <v/>
      </c>
      <c r="I218" s="260">
        <f>[1]預算內選單資料來源!I218</f>
        <v/>
      </c>
      <c r="J218" s="260">
        <f>[1]預算內選單資料來源!J218</f>
        <v/>
      </c>
      <c r="K218" s="260">
        <f>[1]預算內選單資料來源!K218</f>
        <v/>
      </c>
      <c r="L218" s="260">
        <f>[1]預算內選單資料來源!L218</f>
        <v/>
      </c>
    </row>
    <row r="219" ht="16.5" customHeight="1" s="124">
      <c r="A219" s="123">
        <f>[1]預算內選單資料來源!A219</f>
        <v/>
      </c>
      <c r="B219" s="260">
        <f>[1]預算內選單資料來源!B219</f>
        <v/>
      </c>
      <c r="C219" s="260">
        <f>[1]預算內選單資料來源!C219</f>
        <v/>
      </c>
      <c r="D219" s="260">
        <f>[1]預算內選單資料來源!D219</f>
        <v/>
      </c>
      <c r="E219" s="260">
        <f>[1]預算內選單資料來源!E219</f>
        <v/>
      </c>
      <c r="F219" s="260">
        <f>[1]預算內選單資料來源!F219</f>
        <v/>
      </c>
      <c r="G219" s="260">
        <f>[1]預算內選單資料來源!G219</f>
        <v/>
      </c>
      <c r="H219" s="260">
        <f>[1]預算內選單資料來源!H219</f>
        <v/>
      </c>
      <c r="I219" s="260">
        <f>[1]預算內選單資料來源!I219</f>
        <v/>
      </c>
      <c r="J219" s="260">
        <f>[1]預算內選單資料來源!J219</f>
        <v/>
      </c>
      <c r="K219" s="260">
        <f>[1]預算內選單資料來源!K219</f>
        <v/>
      </c>
      <c r="L219" s="260">
        <f>[1]預算內選單資料來源!L219</f>
        <v/>
      </c>
    </row>
    <row r="220" ht="16.5" customHeight="1" s="124">
      <c r="A220" s="123">
        <f>[1]預算內選單資料來源!A220</f>
        <v/>
      </c>
      <c r="B220" s="260">
        <f>[1]預算內選單資料來源!B220</f>
        <v/>
      </c>
      <c r="C220" s="260">
        <f>[1]預算內選單資料來源!C220</f>
        <v/>
      </c>
      <c r="D220" s="260">
        <f>[1]預算內選單資料來源!D220</f>
        <v/>
      </c>
      <c r="E220" s="260">
        <f>[1]預算內選單資料來源!E220</f>
        <v/>
      </c>
      <c r="F220" s="260">
        <f>[1]預算內選單資料來源!F220</f>
        <v/>
      </c>
      <c r="G220" s="260">
        <f>[1]預算內選單資料來源!G220</f>
        <v/>
      </c>
      <c r="H220" s="260">
        <f>[1]預算內選單資料來源!H220</f>
        <v/>
      </c>
      <c r="I220" s="260">
        <f>[1]預算內選單資料來源!I220</f>
        <v/>
      </c>
      <c r="J220" s="260">
        <f>[1]預算內選單資料來源!J220</f>
        <v/>
      </c>
      <c r="K220" s="260">
        <f>[1]預算內選單資料來源!K220</f>
        <v/>
      </c>
      <c r="L220" s="260">
        <f>[1]預算內選單資料來源!L220</f>
        <v/>
      </c>
    </row>
    <row r="221" ht="16.5" customHeight="1" s="124">
      <c r="A221" s="123">
        <f>[1]預算內選單資料來源!A221</f>
        <v/>
      </c>
      <c r="B221" s="260">
        <f>[1]預算內選單資料來源!B221</f>
        <v/>
      </c>
      <c r="C221" s="260">
        <f>[1]預算內選單資料來源!C221</f>
        <v/>
      </c>
      <c r="D221" s="260">
        <f>[1]預算內選單資料來源!D221</f>
        <v/>
      </c>
      <c r="E221" s="260">
        <f>[1]預算內選單資料來源!E221</f>
        <v/>
      </c>
      <c r="F221" s="260">
        <f>[1]預算內選單資料來源!F221</f>
        <v/>
      </c>
      <c r="G221" s="260">
        <f>[1]預算內選單資料來源!G221</f>
        <v/>
      </c>
      <c r="H221" s="260">
        <f>[1]預算內選單資料來源!H221</f>
        <v/>
      </c>
      <c r="I221" s="260">
        <f>[1]預算內選單資料來源!I221</f>
        <v/>
      </c>
      <c r="J221" s="260">
        <f>[1]預算內選單資料來源!J221</f>
        <v/>
      </c>
      <c r="K221" s="260">
        <f>[1]預算內選單資料來源!K221</f>
        <v/>
      </c>
      <c r="L221" s="260">
        <f>[1]預算內選單資料來源!L221</f>
        <v/>
      </c>
    </row>
    <row r="222" ht="16.5" customHeight="1" s="124">
      <c r="A222" s="123">
        <f>[1]預算內選單資料來源!A222</f>
        <v/>
      </c>
      <c r="B222" s="260">
        <f>[1]預算內選單資料來源!B222</f>
        <v/>
      </c>
      <c r="C222" s="260">
        <f>[1]預算內選單資料來源!C222</f>
        <v/>
      </c>
      <c r="D222" s="260">
        <f>[1]預算內選單資料來源!D222</f>
        <v/>
      </c>
      <c r="E222" s="260">
        <f>[1]預算內選單資料來源!E222</f>
        <v/>
      </c>
      <c r="F222" s="260">
        <f>[1]預算內選單資料來源!F222</f>
        <v/>
      </c>
      <c r="G222" s="260">
        <f>[1]預算內選單資料來源!G222</f>
        <v/>
      </c>
      <c r="H222" s="260">
        <f>[1]預算內選單資料來源!H222</f>
        <v/>
      </c>
      <c r="I222" s="260">
        <f>[1]預算內選單資料來源!I222</f>
        <v/>
      </c>
      <c r="J222" s="260">
        <f>[1]預算內選單資料來源!J222</f>
        <v/>
      </c>
      <c r="K222" s="260">
        <f>[1]預算內選單資料來源!K222</f>
        <v/>
      </c>
      <c r="L222" s="260">
        <f>[1]預算內選單資料來源!L222</f>
        <v/>
      </c>
    </row>
    <row r="223" ht="16.5" customHeight="1" s="124">
      <c r="A223" s="123">
        <f>[1]預算內選單資料來源!A223</f>
        <v/>
      </c>
      <c r="B223" s="260">
        <f>[1]預算內選單資料來源!B223</f>
        <v/>
      </c>
      <c r="C223" s="260">
        <f>[1]預算內選單資料來源!C223</f>
        <v/>
      </c>
      <c r="D223" s="260">
        <f>[1]預算內選單資料來源!D223</f>
        <v/>
      </c>
      <c r="E223" s="260">
        <f>[1]預算內選單資料來源!E223</f>
        <v/>
      </c>
      <c r="F223" s="260">
        <f>[1]預算內選單資料來源!F223</f>
        <v/>
      </c>
      <c r="G223" s="260">
        <f>[1]預算內選單資料來源!G223</f>
        <v/>
      </c>
      <c r="H223" s="260">
        <f>[1]預算內選單資料來源!H223</f>
        <v/>
      </c>
      <c r="I223" s="260">
        <f>[1]預算內選單資料來源!I223</f>
        <v/>
      </c>
      <c r="J223" s="260">
        <f>[1]預算內選單資料來源!J223</f>
        <v/>
      </c>
      <c r="K223" s="260">
        <f>[1]預算內選單資料來源!K223</f>
        <v/>
      </c>
      <c r="L223" s="260">
        <f>[1]預算內選單資料來源!L223</f>
        <v/>
      </c>
    </row>
    <row r="224" ht="16.5" customHeight="1" s="124">
      <c r="A224" s="123">
        <f>[1]預算內選單資料來源!A224</f>
        <v/>
      </c>
      <c r="B224" s="260">
        <f>[1]預算內選單資料來源!B224</f>
        <v/>
      </c>
      <c r="C224" s="260">
        <f>[1]預算內選單資料來源!C224</f>
        <v/>
      </c>
      <c r="D224" s="260">
        <f>[1]預算內選單資料來源!D224</f>
        <v/>
      </c>
      <c r="E224" s="260">
        <f>[1]預算內選單資料來源!E224</f>
        <v/>
      </c>
      <c r="F224" s="260">
        <f>[1]預算內選單資料來源!F224</f>
        <v/>
      </c>
      <c r="G224" s="260">
        <f>[1]預算內選單資料來源!G224</f>
        <v/>
      </c>
      <c r="H224" s="260">
        <f>[1]預算內選單資料來源!H224</f>
        <v/>
      </c>
      <c r="I224" s="260">
        <f>[1]預算內選單資料來源!I224</f>
        <v/>
      </c>
      <c r="J224" s="260">
        <f>[1]預算內選單資料來源!J224</f>
        <v/>
      </c>
      <c r="K224" s="260">
        <f>[1]預算內選單資料來源!K224</f>
        <v/>
      </c>
      <c r="L224" s="260">
        <f>[1]預算內選單資料來源!L224</f>
        <v/>
      </c>
    </row>
    <row r="225" ht="16.5" customHeight="1" s="124">
      <c r="A225" s="123">
        <f>[1]預算內選單資料來源!A225</f>
        <v/>
      </c>
      <c r="B225" s="260">
        <f>[1]預算內選單資料來源!B225</f>
        <v/>
      </c>
      <c r="C225" s="260">
        <f>[1]預算內選單資料來源!C225</f>
        <v/>
      </c>
      <c r="D225" s="260">
        <f>[1]預算內選單資料來源!D225</f>
        <v/>
      </c>
      <c r="E225" s="260">
        <f>[1]預算內選單資料來源!E225</f>
        <v/>
      </c>
      <c r="F225" s="260">
        <f>[1]預算內選單資料來源!F225</f>
        <v/>
      </c>
      <c r="G225" s="260">
        <f>[1]預算內選單資料來源!G225</f>
        <v/>
      </c>
      <c r="H225" s="260">
        <f>[1]預算內選單資料來源!H225</f>
        <v/>
      </c>
      <c r="I225" s="260">
        <f>[1]預算內選單資料來源!I225</f>
        <v/>
      </c>
      <c r="J225" s="260">
        <f>[1]預算內選單資料來源!J225</f>
        <v/>
      </c>
      <c r="K225" s="260">
        <f>[1]預算內選單資料來源!K225</f>
        <v/>
      </c>
      <c r="L225" s="260">
        <f>[1]預算內選單資料來源!L225</f>
        <v/>
      </c>
    </row>
    <row r="226" ht="16.5" customHeight="1" s="124">
      <c r="A226" s="123">
        <f>[1]預算內選單資料來源!A226</f>
        <v/>
      </c>
      <c r="B226" s="260">
        <f>[1]預算內選單資料來源!B226</f>
        <v/>
      </c>
      <c r="C226" s="260">
        <f>[1]預算內選單資料來源!C226</f>
        <v/>
      </c>
      <c r="D226" s="260">
        <f>[1]預算內選單資料來源!D226</f>
        <v/>
      </c>
      <c r="E226" s="260">
        <f>[1]預算內選單資料來源!E226</f>
        <v/>
      </c>
      <c r="F226" s="260">
        <f>[1]預算內選單資料來源!F226</f>
        <v/>
      </c>
      <c r="G226" s="260">
        <f>[1]預算內選單資料來源!G226</f>
        <v/>
      </c>
      <c r="H226" s="260">
        <f>[1]預算內選單資料來源!H226</f>
        <v/>
      </c>
      <c r="I226" s="260">
        <f>[1]預算內選單資料來源!I226</f>
        <v/>
      </c>
      <c r="J226" s="260">
        <f>[1]預算內選單資料來源!J226</f>
        <v/>
      </c>
      <c r="K226" s="260">
        <f>[1]預算內選單資料來源!K226</f>
        <v/>
      </c>
      <c r="L226" s="260">
        <f>[1]預算內選單資料來源!L226</f>
        <v/>
      </c>
    </row>
    <row r="227" ht="16.5" customHeight="1" s="124">
      <c r="A227" s="123">
        <f>[1]預算內選單資料來源!A227</f>
        <v/>
      </c>
      <c r="B227" s="260">
        <f>[1]預算內選單資料來源!B227</f>
        <v/>
      </c>
      <c r="C227" s="260">
        <f>[1]預算內選單資料來源!C227</f>
        <v/>
      </c>
      <c r="D227" s="260">
        <f>[1]預算內選單資料來源!D227</f>
        <v/>
      </c>
      <c r="E227" s="260">
        <f>[1]預算內選單資料來源!E227</f>
        <v/>
      </c>
      <c r="F227" s="260">
        <f>[1]預算內選單資料來源!F227</f>
        <v/>
      </c>
      <c r="G227" s="260">
        <f>[1]預算內選單資料來源!G227</f>
        <v/>
      </c>
      <c r="H227" s="260">
        <f>[1]預算內選單資料來源!H227</f>
        <v/>
      </c>
      <c r="I227" s="260">
        <f>[1]預算內選單資料來源!I227</f>
        <v/>
      </c>
      <c r="J227" s="260">
        <f>[1]預算內選單資料來源!J227</f>
        <v/>
      </c>
      <c r="K227" s="260">
        <f>[1]預算內選單資料來源!K227</f>
        <v/>
      </c>
      <c r="L227" s="260">
        <f>[1]預算內選單資料來源!L227</f>
        <v/>
      </c>
    </row>
    <row r="228" ht="16.5" customHeight="1" s="124">
      <c r="A228" s="123">
        <f>[1]預算內選單資料來源!A228</f>
        <v/>
      </c>
      <c r="B228" s="260">
        <f>[1]預算內選單資料來源!B228</f>
        <v/>
      </c>
      <c r="C228" s="260">
        <f>[1]預算內選單資料來源!C228</f>
        <v/>
      </c>
      <c r="D228" s="260">
        <f>[1]預算內選單資料來源!D228</f>
        <v/>
      </c>
      <c r="E228" s="260">
        <f>[1]預算內選單資料來源!E228</f>
        <v/>
      </c>
      <c r="F228" s="260">
        <f>[1]預算內選單資料來源!F228</f>
        <v/>
      </c>
      <c r="G228" s="260">
        <f>[1]預算內選單資料來源!G228</f>
        <v/>
      </c>
      <c r="H228" s="260">
        <f>[1]預算內選單資料來源!H228</f>
        <v/>
      </c>
      <c r="I228" s="260">
        <f>[1]預算內選單資料來源!I228</f>
        <v/>
      </c>
      <c r="J228" s="260">
        <f>[1]預算內選單資料來源!J228</f>
        <v/>
      </c>
      <c r="K228" s="260">
        <f>[1]預算內選單資料來源!K228</f>
        <v/>
      </c>
      <c r="L228" s="260">
        <f>[1]預算內選單資料來源!L228</f>
        <v/>
      </c>
    </row>
    <row r="229" ht="16.5" customHeight="1" s="124">
      <c r="A229" s="123">
        <f>[1]預算內選單資料來源!A229</f>
        <v/>
      </c>
      <c r="B229" s="260">
        <f>[1]預算內選單資料來源!B229</f>
        <v/>
      </c>
      <c r="C229" s="260">
        <f>[1]預算內選單資料來源!C229</f>
        <v/>
      </c>
      <c r="D229" s="260">
        <f>[1]預算內選單資料來源!D229</f>
        <v/>
      </c>
      <c r="E229" s="260">
        <f>[1]預算內選單資料來源!E229</f>
        <v/>
      </c>
      <c r="F229" s="260">
        <f>[1]預算內選單資料來源!F229</f>
        <v/>
      </c>
      <c r="G229" s="260">
        <f>[1]預算內選單資料來源!G229</f>
        <v/>
      </c>
      <c r="H229" s="260">
        <f>[1]預算內選單資料來源!H229</f>
        <v/>
      </c>
      <c r="I229" s="260">
        <f>[1]預算內選單資料來源!I229</f>
        <v/>
      </c>
      <c r="J229" s="260">
        <f>[1]預算內選單資料來源!J229</f>
        <v/>
      </c>
      <c r="K229" s="260">
        <f>[1]預算內選單資料來源!K229</f>
        <v/>
      </c>
      <c r="L229" s="260">
        <f>[1]預算內選單資料來源!L229</f>
        <v/>
      </c>
    </row>
    <row r="230" ht="16.5" customHeight="1" s="124">
      <c r="A230" s="123">
        <f>[1]預算內選單資料來源!A230</f>
        <v/>
      </c>
      <c r="B230" s="260">
        <f>[1]預算內選單資料來源!B230</f>
        <v/>
      </c>
      <c r="C230" s="260">
        <f>[1]預算內選單資料來源!C230</f>
        <v/>
      </c>
      <c r="D230" s="260">
        <f>[1]預算內選單資料來源!D230</f>
        <v/>
      </c>
      <c r="E230" s="260">
        <f>[1]預算內選單資料來源!E230</f>
        <v/>
      </c>
      <c r="F230" s="260">
        <f>[1]預算內選單資料來源!F230</f>
        <v/>
      </c>
      <c r="G230" s="260">
        <f>[1]預算內選單資料來源!G230</f>
        <v/>
      </c>
      <c r="H230" s="260">
        <f>[1]預算內選單資料來源!H230</f>
        <v/>
      </c>
      <c r="I230" s="260">
        <f>[1]預算內選單資料來源!I230</f>
        <v/>
      </c>
      <c r="J230" s="260">
        <f>[1]預算內選單資料來源!J230</f>
        <v/>
      </c>
      <c r="K230" s="260">
        <f>[1]預算內選單資料來源!K230</f>
        <v/>
      </c>
      <c r="L230" s="260">
        <f>[1]預算內選單資料來源!L230</f>
        <v/>
      </c>
    </row>
    <row r="231" ht="16.5" customHeight="1" s="124">
      <c r="A231" s="123">
        <f>[1]預算內選單資料來源!A231</f>
        <v/>
      </c>
      <c r="B231" s="260">
        <f>[1]預算內選單資料來源!B231</f>
        <v/>
      </c>
      <c r="C231" s="260">
        <f>[1]預算內選單資料來源!C231</f>
        <v/>
      </c>
      <c r="D231" s="260">
        <f>[1]預算內選單資料來源!D231</f>
        <v/>
      </c>
      <c r="E231" s="260">
        <f>[1]預算內選單資料來源!E231</f>
        <v/>
      </c>
      <c r="F231" s="260">
        <f>[1]預算內選單資料來源!F231</f>
        <v/>
      </c>
      <c r="G231" s="260">
        <f>[1]預算內選單資料來源!G231</f>
        <v/>
      </c>
      <c r="H231" s="260">
        <f>[1]預算內選單資料來源!H231</f>
        <v/>
      </c>
      <c r="I231" s="260">
        <f>[1]預算內選單資料來源!I231</f>
        <v/>
      </c>
      <c r="J231" s="260">
        <f>[1]預算內選單資料來源!J231</f>
        <v/>
      </c>
      <c r="K231" s="260">
        <f>[1]預算內選單資料來源!K231</f>
        <v/>
      </c>
      <c r="L231" s="260">
        <f>[1]預算內選單資料來源!L231</f>
        <v/>
      </c>
    </row>
    <row r="232" ht="16.5" customHeight="1" s="124">
      <c r="A232" s="123">
        <f>[1]預算內選單資料來源!A232</f>
        <v/>
      </c>
      <c r="B232" s="260">
        <f>[1]預算內選單資料來源!B232</f>
        <v/>
      </c>
      <c r="C232" s="260">
        <f>[1]預算內選單資料來源!C232</f>
        <v/>
      </c>
      <c r="D232" s="260">
        <f>[1]預算內選單資料來源!D232</f>
        <v/>
      </c>
      <c r="E232" s="260">
        <f>[1]預算內選單資料來源!E232</f>
        <v/>
      </c>
      <c r="F232" s="260">
        <f>[1]預算內選單資料來源!F232</f>
        <v/>
      </c>
      <c r="G232" s="260">
        <f>[1]預算內選單資料來源!G232</f>
        <v/>
      </c>
      <c r="H232" s="260">
        <f>[1]預算內選單資料來源!H232</f>
        <v/>
      </c>
      <c r="I232" s="260">
        <f>[1]預算內選單資料來源!I232</f>
        <v/>
      </c>
      <c r="J232" s="260">
        <f>[1]預算內選單資料來源!J232</f>
        <v/>
      </c>
      <c r="K232" s="260">
        <f>[1]預算內選單資料來源!K232</f>
        <v/>
      </c>
      <c r="L232" s="260">
        <f>[1]預算內選單資料來源!L232</f>
        <v/>
      </c>
    </row>
    <row r="233" ht="16.5" customHeight="1" s="124">
      <c r="A233" s="123">
        <f>[1]預算內選單資料來源!A233</f>
        <v/>
      </c>
      <c r="B233" s="260">
        <f>[1]預算內選單資料來源!B233</f>
        <v/>
      </c>
      <c r="C233" s="260">
        <f>[1]預算內選單資料來源!C233</f>
        <v/>
      </c>
      <c r="D233" s="260">
        <f>[1]預算內選單資料來源!D233</f>
        <v/>
      </c>
      <c r="E233" s="260">
        <f>[1]預算內選單資料來源!E233</f>
        <v/>
      </c>
      <c r="F233" s="260">
        <f>[1]預算內選單資料來源!F233</f>
        <v/>
      </c>
      <c r="G233" s="260">
        <f>[1]預算內選單資料來源!G233</f>
        <v/>
      </c>
      <c r="H233" s="260">
        <f>[1]預算內選單資料來源!H233</f>
        <v/>
      </c>
      <c r="I233" s="260">
        <f>[1]預算內選單資料來源!I233</f>
        <v/>
      </c>
      <c r="J233" s="260">
        <f>[1]預算內選單資料來源!J233</f>
        <v/>
      </c>
      <c r="K233" s="260">
        <f>[1]預算內選單資料來源!K233</f>
        <v/>
      </c>
      <c r="L233" s="260">
        <f>[1]預算內選單資料來源!L233</f>
        <v/>
      </c>
    </row>
    <row r="234" ht="16.5" customHeight="1" s="124">
      <c r="A234" s="123">
        <f>[1]預算內選單資料來源!A234</f>
        <v/>
      </c>
      <c r="B234" s="260">
        <f>[1]預算內選單資料來源!B234</f>
        <v/>
      </c>
      <c r="C234" s="260">
        <f>[1]預算內選單資料來源!C234</f>
        <v/>
      </c>
      <c r="D234" s="260">
        <f>[1]預算內選單資料來源!D234</f>
        <v/>
      </c>
      <c r="E234" s="260">
        <f>[1]預算內選單資料來源!E234</f>
        <v/>
      </c>
      <c r="F234" s="260">
        <f>[1]預算內選單資料來源!F234</f>
        <v/>
      </c>
      <c r="G234" s="260">
        <f>[1]預算內選單資料來源!G234</f>
        <v/>
      </c>
      <c r="H234" s="260">
        <f>[1]預算內選單資料來源!H234</f>
        <v/>
      </c>
      <c r="I234" s="260">
        <f>[1]預算內選單資料來源!I234</f>
        <v/>
      </c>
      <c r="J234" s="260">
        <f>[1]預算內選單資料來源!J234</f>
        <v/>
      </c>
      <c r="K234" s="260">
        <f>[1]預算內選單資料來源!K234</f>
        <v/>
      </c>
      <c r="L234" s="260">
        <f>[1]預算內選單資料來源!L234</f>
        <v/>
      </c>
    </row>
    <row r="235" ht="16.5" customHeight="1" s="124">
      <c r="A235" s="123">
        <f>[1]預算內選單資料來源!A235</f>
        <v/>
      </c>
      <c r="B235" s="260">
        <f>[1]預算內選單資料來源!B235</f>
        <v/>
      </c>
      <c r="C235" s="260">
        <f>[1]預算內選單資料來源!C235</f>
        <v/>
      </c>
      <c r="D235" s="260">
        <f>[1]預算內選單資料來源!D235</f>
        <v/>
      </c>
      <c r="E235" s="260">
        <f>[1]預算內選單資料來源!E235</f>
        <v/>
      </c>
      <c r="F235" s="260">
        <f>[1]預算內選單資料來源!F235</f>
        <v/>
      </c>
      <c r="G235" s="260">
        <f>[1]預算內選單資料來源!G235</f>
        <v/>
      </c>
      <c r="H235" s="260">
        <f>[1]預算內選單資料來源!H235</f>
        <v/>
      </c>
      <c r="I235" s="260">
        <f>[1]預算內選單資料來源!I235</f>
        <v/>
      </c>
      <c r="J235" s="260">
        <f>[1]預算內選單資料來源!J235</f>
        <v/>
      </c>
      <c r="K235" s="260">
        <f>[1]預算內選單資料來源!K235</f>
        <v/>
      </c>
      <c r="L235" s="260">
        <f>[1]預算內選單資料來源!L235</f>
        <v/>
      </c>
    </row>
    <row r="236" ht="16.5" customHeight="1" s="124">
      <c r="A236" s="123">
        <f>[1]預算內選單資料來源!A236</f>
        <v/>
      </c>
      <c r="B236" s="260">
        <f>[1]預算內選單資料來源!B236</f>
        <v/>
      </c>
      <c r="C236" s="260">
        <f>[1]預算內選單資料來源!C236</f>
        <v/>
      </c>
      <c r="D236" s="260">
        <f>[1]預算內選單資料來源!D236</f>
        <v/>
      </c>
      <c r="E236" s="260">
        <f>[1]預算內選單資料來源!E236</f>
        <v/>
      </c>
      <c r="F236" s="260">
        <f>[1]預算內選單資料來源!F236</f>
        <v/>
      </c>
      <c r="G236" s="260">
        <f>[1]預算內選單資料來源!G236</f>
        <v/>
      </c>
      <c r="H236" s="260">
        <f>[1]預算內選單資料來源!H236</f>
        <v/>
      </c>
      <c r="I236" s="260">
        <f>[1]預算內選單資料來源!I236</f>
        <v/>
      </c>
      <c r="J236" s="260">
        <f>[1]預算內選單資料來源!J236</f>
        <v/>
      </c>
      <c r="K236" s="260">
        <f>[1]預算內選單資料來源!K236</f>
        <v/>
      </c>
      <c r="L236" s="260">
        <f>[1]預算內選單資料來源!L236</f>
        <v/>
      </c>
    </row>
    <row r="237" ht="16.5" customHeight="1" s="124">
      <c r="A237" s="123">
        <f>[1]預算內選單資料來源!A237</f>
        <v/>
      </c>
      <c r="B237" s="260">
        <f>[1]預算內選單資料來源!B237</f>
        <v/>
      </c>
      <c r="C237" s="260">
        <f>[1]預算內選單資料來源!C237</f>
        <v/>
      </c>
      <c r="D237" s="260">
        <f>[1]預算內選單資料來源!D237</f>
        <v/>
      </c>
      <c r="E237" s="260">
        <f>[1]預算內選單資料來源!E237</f>
        <v/>
      </c>
      <c r="F237" s="260">
        <f>[1]預算內選單資料來源!F237</f>
        <v/>
      </c>
      <c r="G237" s="260">
        <f>[1]預算內選單資料來源!G237</f>
        <v/>
      </c>
      <c r="H237" s="260">
        <f>[1]預算內選單資料來源!H237</f>
        <v/>
      </c>
      <c r="I237" s="260">
        <f>[1]預算內選單資料來源!I237</f>
        <v/>
      </c>
      <c r="J237" s="260">
        <f>[1]預算內選單資料來源!J237</f>
        <v/>
      </c>
      <c r="K237" s="260">
        <f>[1]預算內選單資料來源!K237</f>
        <v/>
      </c>
      <c r="L237" s="260">
        <f>[1]預算內選單資料來源!L237</f>
        <v/>
      </c>
    </row>
    <row r="238" ht="16.5" customHeight="1" s="124">
      <c r="A238" s="123">
        <f>[1]預算內選單資料來源!A238</f>
        <v/>
      </c>
      <c r="B238" s="260">
        <f>[1]預算內選單資料來源!B238</f>
        <v/>
      </c>
      <c r="C238" s="260">
        <f>[1]預算內選單資料來源!C238</f>
        <v/>
      </c>
      <c r="D238" s="260">
        <f>[1]預算內選單資料來源!D238</f>
        <v/>
      </c>
      <c r="E238" s="260">
        <f>[1]預算內選單資料來源!E238</f>
        <v/>
      </c>
      <c r="F238" s="260">
        <f>[1]預算內選單資料來源!F238</f>
        <v/>
      </c>
      <c r="G238" s="260">
        <f>[1]預算內選單資料來源!G238</f>
        <v/>
      </c>
      <c r="H238" s="260">
        <f>[1]預算內選單資料來源!H238</f>
        <v/>
      </c>
      <c r="I238" s="260">
        <f>[1]預算內選單資料來源!I238</f>
        <v/>
      </c>
      <c r="J238" s="260">
        <f>[1]預算內選單資料來源!J238</f>
        <v/>
      </c>
      <c r="K238" s="260">
        <f>[1]預算內選單資料來源!K238</f>
        <v/>
      </c>
      <c r="L238" s="260">
        <f>[1]預算內選單資料來源!L238</f>
        <v/>
      </c>
    </row>
    <row r="239" ht="16.5" customHeight="1" s="124">
      <c r="A239" s="123">
        <f>[1]預算內選單資料來源!A239</f>
        <v/>
      </c>
      <c r="B239" s="260">
        <f>[1]預算內選單資料來源!B239</f>
        <v/>
      </c>
      <c r="C239" s="260">
        <f>[1]預算內選單資料來源!C239</f>
        <v/>
      </c>
      <c r="D239" s="260">
        <f>[1]預算內選單資料來源!D239</f>
        <v/>
      </c>
      <c r="E239" s="260">
        <f>[1]預算內選單資料來源!E239</f>
        <v/>
      </c>
      <c r="F239" s="260">
        <f>[1]預算內選單資料來源!F239</f>
        <v/>
      </c>
      <c r="G239" s="260">
        <f>[1]預算內選單資料來源!G239</f>
        <v/>
      </c>
      <c r="H239" s="260">
        <f>[1]預算內選單資料來源!H239</f>
        <v/>
      </c>
      <c r="I239" s="260">
        <f>[1]預算內選單資料來源!I239</f>
        <v/>
      </c>
      <c r="J239" s="260">
        <f>[1]預算內選單資料來源!J239</f>
        <v/>
      </c>
      <c r="K239" s="260">
        <f>[1]預算內選單資料來源!K239</f>
        <v/>
      </c>
      <c r="L239" s="260">
        <f>[1]預算內選單資料來源!L239</f>
        <v/>
      </c>
    </row>
    <row r="240" ht="16.5" customHeight="1" s="124">
      <c r="A240" s="123">
        <f>[1]預算內選單資料來源!A240</f>
        <v/>
      </c>
      <c r="B240" s="260">
        <f>[1]預算內選單資料來源!B240</f>
        <v/>
      </c>
      <c r="C240" s="260">
        <f>[1]預算內選單資料來源!C240</f>
        <v/>
      </c>
      <c r="D240" s="260">
        <f>[1]預算內選單資料來源!D240</f>
        <v/>
      </c>
      <c r="E240" s="260">
        <f>[1]預算內選單資料來源!E240</f>
        <v/>
      </c>
      <c r="F240" s="260">
        <f>[1]預算內選單資料來源!F240</f>
        <v/>
      </c>
      <c r="G240" s="260">
        <f>[1]預算內選單資料來源!G240</f>
        <v/>
      </c>
      <c r="H240" s="260">
        <f>[1]預算內選單資料來源!H240</f>
        <v/>
      </c>
      <c r="I240" s="260">
        <f>[1]預算內選單資料來源!I240</f>
        <v/>
      </c>
      <c r="J240" s="260">
        <f>[1]預算內選單資料來源!J240</f>
        <v/>
      </c>
      <c r="K240" s="260">
        <f>[1]預算內選單資料來源!K240</f>
        <v/>
      </c>
      <c r="L240" s="260">
        <f>[1]預算內選單資料來源!L240</f>
        <v/>
      </c>
    </row>
    <row r="241" ht="16.5" customHeight="1" s="124">
      <c r="A241" s="123">
        <f>[1]預算內選單資料來源!A241</f>
        <v/>
      </c>
      <c r="B241" s="260">
        <f>[1]預算內選單資料來源!B241</f>
        <v/>
      </c>
      <c r="C241" s="260">
        <f>[1]預算內選單資料來源!C241</f>
        <v/>
      </c>
      <c r="D241" s="260">
        <f>[1]預算內選單資料來源!D241</f>
        <v/>
      </c>
      <c r="E241" s="260">
        <f>[1]預算內選單資料來源!E241</f>
        <v/>
      </c>
      <c r="F241" s="260">
        <f>[1]預算內選單資料來源!F241</f>
        <v/>
      </c>
      <c r="G241" s="260">
        <f>[1]預算內選單資料來源!G241</f>
        <v/>
      </c>
      <c r="H241" s="260">
        <f>[1]預算內選單資料來源!H241</f>
        <v/>
      </c>
      <c r="I241" s="260">
        <f>[1]預算內選單資料來源!I241</f>
        <v/>
      </c>
      <c r="J241" s="260">
        <f>[1]預算內選單資料來源!J241</f>
        <v/>
      </c>
      <c r="K241" s="260">
        <f>[1]預算內選單資料來源!K241</f>
        <v/>
      </c>
      <c r="L241" s="260">
        <f>[1]預算內選單資料來源!L241</f>
        <v/>
      </c>
    </row>
    <row r="242" ht="16.5" customHeight="1" s="124">
      <c r="A242" s="123">
        <f>[1]預算內選單資料來源!A242</f>
        <v/>
      </c>
      <c r="B242" s="260">
        <f>[1]預算內選單資料來源!B242</f>
        <v/>
      </c>
      <c r="C242" s="260">
        <f>[1]預算內選單資料來源!C242</f>
        <v/>
      </c>
      <c r="D242" s="260">
        <f>[1]預算內選單資料來源!D242</f>
        <v/>
      </c>
      <c r="E242" s="260">
        <f>[1]預算內選單資料來源!E242</f>
        <v/>
      </c>
      <c r="F242" s="260">
        <f>[1]預算內選單資料來源!F242</f>
        <v/>
      </c>
      <c r="G242" s="260">
        <f>[1]預算內選單資料來源!G242</f>
        <v/>
      </c>
      <c r="H242" s="260">
        <f>[1]預算內選單資料來源!H242</f>
        <v/>
      </c>
      <c r="I242" s="260">
        <f>[1]預算內選單資料來源!I242</f>
        <v/>
      </c>
      <c r="J242" s="260">
        <f>[1]預算內選單資料來源!J242</f>
        <v/>
      </c>
      <c r="K242" s="260">
        <f>[1]預算內選單資料來源!K242</f>
        <v/>
      </c>
      <c r="L242" s="260">
        <f>[1]預算內選單資料來源!L242</f>
        <v/>
      </c>
    </row>
    <row r="243" ht="16.5" customHeight="1" s="124">
      <c r="A243" s="123">
        <f>[1]預算內選單資料來源!A243</f>
        <v/>
      </c>
      <c r="B243" s="260">
        <f>[1]預算內選單資料來源!B243</f>
        <v/>
      </c>
      <c r="C243" s="260">
        <f>[1]預算內選單資料來源!C243</f>
        <v/>
      </c>
      <c r="D243" s="260">
        <f>[1]預算內選單資料來源!D243</f>
        <v/>
      </c>
      <c r="E243" s="260">
        <f>[1]預算內選單資料來源!E243</f>
        <v/>
      </c>
      <c r="F243" s="260">
        <f>[1]預算內選單資料來源!F243</f>
        <v/>
      </c>
      <c r="G243" s="260">
        <f>[1]預算內選單資料來源!G243</f>
        <v/>
      </c>
      <c r="H243" s="260">
        <f>[1]預算內選單資料來源!H243</f>
        <v/>
      </c>
      <c r="I243" s="260">
        <f>[1]預算內選單資料來源!I243</f>
        <v/>
      </c>
      <c r="J243" s="260">
        <f>[1]預算內選單資料來源!J243</f>
        <v/>
      </c>
      <c r="K243" s="260">
        <f>[1]預算內選單資料來源!K243</f>
        <v/>
      </c>
      <c r="L243" s="260">
        <f>[1]預算內選單資料來源!L243</f>
        <v/>
      </c>
    </row>
    <row r="244" ht="16.5" customHeight="1" s="124">
      <c r="A244" s="123">
        <f>[1]預算內選單資料來源!A244</f>
        <v/>
      </c>
      <c r="B244" s="260">
        <f>[1]預算內選單資料來源!B244</f>
        <v/>
      </c>
      <c r="C244" s="260">
        <f>[1]預算內選單資料來源!C244</f>
        <v/>
      </c>
      <c r="D244" s="260">
        <f>[1]預算內選單資料來源!D244</f>
        <v/>
      </c>
      <c r="E244" s="260">
        <f>[1]預算內選單資料來源!E244</f>
        <v/>
      </c>
      <c r="F244" s="260">
        <f>[1]預算內選單資料來源!F244</f>
        <v/>
      </c>
      <c r="G244" s="260">
        <f>[1]預算內選單資料來源!G244</f>
        <v/>
      </c>
      <c r="H244" s="260">
        <f>[1]預算內選單資料來源!H244</f>
        <v/>
      </c>
      <c r="I244" s="260">
        <f>[1]預算內選單資料來源!I244</f>
        <v/>
      </c>
      <c r="J244" s="260">
        <f>[1]預算內選單資料來源!J244</f>
        <v/>
      </c>
      <c r="K244" s="260">
        <f>[1]預算內選單資料來源!K244</f>
        <v/>
      </c>
      <c r="L244" s="260">
        <f>[1]預算內選單資料來源!L244</f>
        <v/>
      </c>
    </row>
    <row r="245" ht="16.5" customHeight="1" s="124">
      <c r="A245" s="123">
        <f>[1]預算內選單資料來源!A245</f>
        <v/>
      </c>
      <c r="B245" s="260">
        <f>[1]預算內選單資料來源!B245</f>
        <v/>
      </c>
      <c r="C245" s="260">
        <f>[1]預算內選單資料來源!C245</f>
        <v/>
      </c>
      <c r="D245" s="260">
        <f>[1]預算內選單資料來源!D245</f>
        <v/>
      </c>
      <c r="E245" s="260">
        <f>[1]預算內選單資料來源!E245</f>
        <v/>
      </c>
      <c r="F245" s="260">
        <f>[1]預算內選單資料來源!F245</f>
        <v/>
      </c>
      <c r="G245" s="260">
        <f>[1]預算內選單資料來源!G245</f>
        <v/>
      </c>
      <c r="H245" s="260">
        <f>[1]預算內選單資料來源!H245</f>
        <v/>
      </c>
      <c r="I245" s="260">
        <f>[1]預算內選單資料來源!I245</f>
        <v/>
      </c>
      <c r="J245" s="260">
        <f>[1]預算內選單資料來源!J245</f>
        <v/>
      </c>
      <c r="K245" s="260">
        <f>[1]預算內選單資料來源!K245</f>
        <v/>
      </c>
      <c r="L245" s="260">
        <f>[1]預算內選單資料來源!L245</f>
        <v/>
      </c>
    </row>
    <row r="246" ht="16.5" customHeight="1" s="124">
      <c r="A246" s="123">
        <f>[1]預算內選單資料來源!A246</f>
        <v/>
      </c>
      <c r="B246" s="260">
        <f>[1]預算內選單資料來源!B246</f>
        <v/>
      </c>
      <c r="C246" s="260">
        <f>[1]預算內選單資料來源!C246</f>
        <v/>
      </c>
      <c r="D246" s="260">
        <f>[1]預算內選單資料來源!D246</f>
        <v/>
      </c>
      <c r="E246" s="260">
        <f>[1]預算內選單資料來源!E246</f>
        <v/>
      </c>
      <c r="F246" s="260">
        <f>[1]預算內選單資料來源!F246</f>
        <v/>
      </c>
      <c r="G246" s="260">
        <f>[1]預算內選單資料來源!G246</f>
        <v/>
      </c>
      <c r="H246" s="260">
        <f>[1]預算內選單資料來源!H246</f>
        <v/>
      </c>
      <c r="I246" s="260">
        <f>[1]預算內選單資料來源!I246</f>
        <v/>
      </c>
      <c r="J246" s="260">
        <f>[1]預算內選單資料來源!J246</f>
        <v/>
      </c>
      <c r="K246" s="260">
        <f>[1]預算內選單資料來源!K246</f>
        <v/>
      </c>
      <c r="L246" s="260">
        <f>[1]預算內選單資料來源!L246</f>
        <v/>
      </c>
    </row>
    <row r="247" ht="16.5" customHeight="1" s="124">
      <c r="A247" s="123">
        <f>[1]預算內選單資料來源!A247</f>
        <v/>
      </c>
      <c r="B247" s="260">
        <f>[1]預算內選單資料來源!B247</f>
        <v/>
      </c>
      <c r="C247" s="260">
        <f>[1]預算內選單資料來源!C247</f>
        <v/>
      </c>
      <c r="D247" s="260">
        <f>[1]預算內選單資料來源!D247</f>
        <v/>
      </c>
      <c r="E247" s="260">
        <f>[1]預算內選單資料來源!E247</f>
        <v/>
      </c>
      <c r="F247" s="260">
        <f>[1]預算內選單資料來源!F247</f>
        <v/>
      </c>
      <c r="G247" s="260">
        <f>[1]預算內選單資料來源!G247</f>
        <v/>
      </c>
      <c r="H247" s="260">
        <f>[1]預算內選單資料來源!H247</f>
        <v/>
      </c>
      <c r="I247" s="260">
        <f>[1]預算內選單資料來源!I247</f>
        <v/>
      </c>
      <c r="J247" s="260">
        <f>[1]預算內選單資料來源!J247</f>
        <v/>
      </c>
      <c r="K247" s="260">
        <f>[1]預算內選單資料來源!K247</f>
        <v/>
      </c>
      <c r="L247" s="260">
        <f>[1]預算內選單資料來源!L247</f>
        <v/>
      </c>
    </row>
    <row r="248" ht="16.5" customHeight="1" s="124">
      <c r="A248" s="123">
        <f>[1]預算內選單資料來源!A248</f>
        <v/>
      </c>
      <c r="B248" s="260">
        <f>[1]預算內選單資料來源!B248</f>
        <v/>
      </c>
      <c r="C248" s="260">
        <f>[1]預算內選單資料來源!C248</f>
        <v/>
      </c>
      <c r="D248" s="260">
        <f>[1]預算內選單資料來源!D248</f>
        <v/>
      </c>
      <c r="E248" s="260">
        <f>[1]預算內選單資料來源!E248</f>
        <v/>
      </c>
      <c r="F248" s="260">
        <f>[1]預算內選單資料來源!F248</f>
        <v/>
      </c>
      <c r="G248" s="260">
        <f>[1]預算內選單資料來源!G248</f>
        <v/>
      </c>
      <c r="H248" s="260">
        <f>[1]預算內選單資料來源!H248</f>
        <v/>
      </c>
      <c r="I248" s="260">
        <f>[1]預算內選單資料來源!I248</f>
        <v/>
      </c>
      <c r="J248" s="260">
        <f>[1]預算內選單資料來源!J248</f>
        <v/>
      </c>
      <c r="K248" s="260">
        <f>[1]預算內選單資料來源!K248</f>
        <v/>
      </c>
      <c r="L248" s="260">
        <f>[1]預算內選單資料來源!L248</f>
        <v/>
      </c>
    </row>
    <row r="249" ht="16.5" customHeight="1" s="124">
      <c r="A249" s="123">
        <f>[1]預算內選單資料來源!A249</f>
        <v/>
      </c>
      <c r="B249" s="260">
        <f>[1]預算內選單資料來源!B249</f>
        <v/>
      </c>
      <c r="C249" s="260">
        <f>[1]預算內選單資料來源!C249</f>
        <v/>
      </c>
      <c r="D249" s="260">
        <f>[1]預算內選單資料來源!D249</f>
        <v/>
      </c>
      <c r="E249" s="260">
        <f>[1]預算內選單資料來源!E249</f>
        <v/>
      </c>
      <c r="F249" s="260">
        <f>[1]預算內選單資料來源!F249</f>
        <v/>
      </c>
      <c r="G249" s="260">
        <f>[1]預算內選單資料來源!G249</f>
        <v/>
      </c>
      <c r="H249" s="260">
        <f>[1]預算內選單資料來源!H249</f>
        <v/>
      </c>
      <c r="I249" s="260">
        <f>[1]預算內選單資料來源!I249</f>
        <v/>
      </c>
      <c r="J249" s="260">
        <f>[1]預算內選單資料來源!J249</f>
        <v/>
      </c>
      <c r="K249" s="260">
        <f>[1]預算內選單資料來源!K249</f>
        <v/>
      </c>
      <c r="L249" s="260">
        <f>[1]預算內選單資料來源!L249</f>
        <v/>
      </c>
    </row>
    <row r="250" ht="16.5" customHeight="1" s="124">
      <c r="A250" s="123">
        <f>[1]預算內選單資料來源!A250</f>
        <v/>
      </c>
      <c r="B250" s="260">
        <f>[1]預算內選單資料來源!B250</f>
        <v/>
      </c>
      <c r="C250" s="260">
        <f>[1]預算內選單資料來源!C250</f>
        <v/>
      </c>
      <c r="D250" s="260">
        <f>[1]預算內選單資料來源!D250</f>
        <v/>
      </c>
      <c r="E250" s="260">
        <f>[1]預算內選單資料來源!E250</f>
        <v/>
      </c>
      <c r="F250" s="260">
        <f>[1]預算內選單資料來源!F250</f>
        <v/>
      </c>
      <c r="G250" s="260">
        <f>[1]預算內選單資料來源!G250</f>
        <v/>
      </c>
      <c r="H250" s="260">
        <f>[1]預算內選單資料來源!H250</f>
        <v/>
      </c>
      <c r="I250" s="260">
        <f>[1]預算內選單資料來源!I250</f>
        <v/>
      </c>
      <c r="J250" s="260">
        <f>[1]預算內選單資料來源!J250</f>
        <v/>
      </c>
      <c r="K250" s="260">
        <f>[1]預算內選單資料來源!K250</f>
        <v/>
      </c>
      <c r="L250" s="260">
        <f>[1]預算內選單資料來源!L250</f>
        <v/>
      </c>
    </row>
    <row r="251" ht="16.5" customHeight="1" s="124">
      <c r="A251" s="123">
        <f>[1]預算內選單資料來源!A251</f>
        <v/>
      </c>
      <c r="B251" s="260">
        <f>[1]預算內選單資料來源!B251</f>
        <v/>
      </c>
      <c r="C251" s="260">
        <f>[1]預算內選單資料來源!C251</f>
        <v/>
      </c>
      <c r="D251" s="260">
        <f>[1]預算內選單資料來源!D251</f>
        <v/>
      </c>
      <c r="E251" s="260">
        <f>[1]預算內選單資料來源!E251</f>
        <v/>
      </c>
      <c r="F251" s="260">
        <f>[1]預算內選單資料來源!F251</f>
        <v/>
      </c>
      <c r="G251" s="260">
        <f>[1]預算內選單資料來源!G251</f>
        <v/>
      </c>
      <c r="H251" s="260">
        <f>[1]預算內選單資料來源!H251</f>
        <v/>
      </c>
      <c r="I251" s="260">
        <f>[1]預算內選單資料來源!I251</f>
        <v/>
      </c>
      <c r="J251" s="260">
        <f>[1]預算內選單資料來源!J251</f>
        <v/>
      </c>
      <c r="K251" s="260">
        <f>[1]預算內選單資料來源!K251</f>
        <v/>
      </c>
      <c r="L251" s="260">
        <f>[1]預算內選單資料來源!L251</f>
        <v/>
      </c>
    </row>
    <row r="252" ht="16.5" customHeight="1" s="124">
      <c r="A252" s="123">
        <f>[1]預算內選單資料來源!A252</f>
        <v/>
      </c>
      <c r="B252" s="260">
        <f>[1]預算內選單資料來源!B252</f>
        <v/>
      </c>
      <c r="C252" s="260">
        <f>[1]預算內選單資料來源!C252</f>
        <v/>
      </c>
      <c r="D252" s="260">
        <f>[1]預算內選單資料來源!D252</f>
        <v/>
      </c>
      <c r="E252" s="260">
        <f>[1]預算內選單資料來源!E252</f>
        <v/>
      </c>
      <c r="F252" s="260">
        <f>[1]預算內選單資料來源!F252</f>
        <v/>
      </c>
      <c r="G252" s="260">
        <f>[1]預算內選單資料來源!G252</f>
        <v/>
      </c>
      <c r="H252" s="260">
        <f>[1]預算內選單資料來源!H252</f>
        <v/>
      </c>
      <c r="I252" s="260">
        <f>[1]預算內選單資料來源!I252</f>
        <v/>
      </c>
      <c r="J252" s="260">
        <f>[1]預算內選單資料來源!J252</f>
        <v/>
      </c>
      <c r="K252" s="260">
        <f>[1]預算內選單資料來源!K252</f>
        <v/>
      </c>
      <c r="L252" s="260">
        <f>[1]預算內選單資料來源!L252</f>
        <v/>
      </c>
    </row>
    <row r="253" ht="16.5" customHeight="1" s="124">
      <c r="A253" s="123">
        <f>[1]預算內選單資料來源!A253</f>
        <v/>
      </c>
      <c r="B253" s="260">
        <f>[1]預算內選單資料來源!B253</f>
        <v/>
      </c>
      <c r="C253" s="260">
        <f>[1]預算內選單資料來源!C253</f>
        <v/>
      </c>
      <c r="D253" s="260">
        <f>[1]預算內選單資料來源!D253</f>
        <v/>
      </c>
      <c r="E253" s="260">
        <f>[1]預算內選單資料來源!E253</f>
        <v/>
      </c>
      <c r="F253" s="260">
        <f>[1]預算內選單資料來源!F253</f>
        <v/>
      </c>
      <c r="G253" s="260">
        <f>[1]預算內選單資料來源!G253</f>
        <v/>
      </c>
      <c r="H253" s="260">
        <f>[1]預算內選單資料來源!H253</f>
        <v/>
      </c>
      <c r="I253" s="260">
        <f>[1]預算內選單資料來源!I253</f>
        <v/>
      </c>
      <c r="J253" s="260">
        <f>[1]預算內選單資料來源!J253</f>
        <v/>
      </c>
      <c r="K253" s="260">
        <f>[1]預算內選單資料來源!K253</f>
        <v/>
      </c>
      <c r="L253" s="260">
        <f>[1]預算內選單資料來源!L253</f>
        <v/>
      </c>
    </row>
    <row r="254" ht="16.5" customHeight="1" s="124">
      <c r="A254" s="123">
        <f>[1]預算內選單資料來源!A254</f>
        <v/>
      </c>
      <c r="B254" s="260">
        <f>[1]預算內選單資料來源!B254</f>
        <v/>
      </c>
      <c r="C254" s="260">
        <f>[1]預算內選單資料來源!C254</f>
        <v/>
      </c>
      <c r="D254" s="260">
        <f>[1]預算內選單資料來源!D254</f>
        <v/>
      </c>
      <c r="E254" s="260">
        <f>[1]預算內選單資料來源!E254</f>
        <v/>
      </c>
      <c r="F254" s="260">
        <f>[1]預算內選單資料來源!F254</f>
        <v/>
      </c>
      <c r="G254" s="260">
        <f>[1]預算內選單資料來源!G254</f>
        <v/>
      </c>
      <c r="H254" s="260">
        <f>[1]預算內選單資料來源!H254</f>
        <v/>
      </c>
      <c r="I254" s="260">
        <f>[1]預算內選單資料來源!I254</f>
        <v/>
      </c>
      <c r="J254" s="260">
        <f>[1]預算內選單資料來源!J254</f>
        <v/>
      </c>
      <c r="K254" s="260">
        <f>[1]預算內選單資料來源!K254</f>
        <v/>
      </c>
      <c r="L254" s="260">
        <f>[1]預算內選單資料來源!L254</f>
        <v/>
      </c>
    </row>
    <row r="255" ht="16.5" customHeight="1" s="124">
      <c r="A255" s="123">
        <f>[1]預算內選單資料來源!A255</f>
        <v/>
      </c>
      <c r="B255" s="260">
        <f>[1]預算內選單資料來源!B255</f>
        <v/>
      </c>
      <c r="C255" s="260">
        <f>[1]預算內選單資料來源!C255</f>
        <v/>
      </c>
      <c r="D255" s="260">
        <f>[1]預算內選單資料來源!D255</f>
        <v/>
      </c>
      <c r="E255" s="260">
        <f>[1]預算內選單資料來源!E255</f>
        <v/>
      </c>
      <c r="F255" s="260">
        <f>[1]預算內選單資料來源!F255</f>
        <v/>
      </c>
      <c r="G255" s="260">
        <f>[1]預算內選單資料來源!G255</f>
        <v/>
      </c>
      <c r="H255" s="260">
        <f>[1]預算內選單資料來源!H255</f>
        <v/>
      </c>
      <c r="I255" s="260">
        <f>[1]預算內選單資料來源!I255</f>
        <v/>
      </c>
      <c r="J255" s="260">
        <f>[1]預算內選單資料來源!J255</f>
        <v/>
      </c>
      <c r="K255" s="260">
        <f>[1]預算內選單資料來源!K255</f>
        <v/>
      </c>
      <c r="L255" s="260">
        <f>[1]預算內選單資料來源!L255</f>
        <v/>
      </c>
    </row>
    <row r="256" ht="16.5" customHeight="1" s="124">
      <c r="A256" s="123">
        <f>[1]預算內選單資料來源!A256</f>
        <v/>
      </c>
      <c r="B256" s="260">
        <f>[1]預算內選單資料來源!B256</f>
        <v/>
      </c>
      <c r="C256" s="260">
        <f>[1]預算內選單資料來源!C256</f>
        <v/>
      </c>
      <c r="D256" s="260">
        <f>[1]預算內選單資料來源!D256</f>
        <v/>
      </c>
      <c r="E256" s="260">
        <f>[1]預算內選單資料來源!E256</f>
        <v/>
      </c>
      <c r="F256" s="260">
        <f>[1]預算內選單資料來源!F256</f>
        <v/>
      </c>
      <c r="G256" s="260">
        <f>[1]預算內選單資料來源!G256</f>
        <v/>
      </c>
      <c r="H256" s="260">
        <f>[1]預算內選單資料來源!H256</f>
        <v/>
      </c>
      <c r="I256" s="260">
        <f>[1]預算內選單資料來源!I256</f>
        <v/>
      </c>
      <c r="J256" s="260">
        <f>[1]預算內選單資料來源!J256</f>
        <v/>
      </c>
      <c r="K256" s="260">
        <f>[1]預算內選單資料來源!K256</f>
        <v/>
      </c>
      <c r="L256" s="260">
        <f>[1]預算內選單資料來源!L256</f>
        <v/>
      </c>
    </row>
    <row r="257" ht="16.5" customHeight="1" s="124">
      <c r="A257" s="123">
        <f>[1]預算內選單資料來源!A257</f>
        <v/>
      </c>
      <c r="B257" s="260">
        <f>[1]預算內選單資料來源!B257</f>
        <v/>
      </c>
      <c r="C257" s="260">
        <f>[1]預算內選單資料來源!C257</f>
        <v/>
      </c>
      <c r="D257" s="260">
        <f>[1]預算內選單資料來源!D257</f>
        <v/>
      </c>
      <c r="E257" s="260">
        <f>[1]預算內選單資料來源!E257</f>
        <v/>
      </c>
      <c r="F257" s="260">
        <f>[1]預算內選單資料來源!F257</f>
        <v/>
      </c>
      <c r="G257" s="260">
        <f>[1]預算內選單資料來源!G257</f>
        <v/>
      </c>
      <c r="H257" s="260">
        <f>[1]預算內選單資料來源!H257</f>
        <v/>
      </c>
      <c r="I257" s="260">
        <f>[1]預算內選單資料來源!I257</f>
        <v/>
      </c>
      <c r="J257" s="260">
        <f>[1]預算內選單資料來源!J257</f>
        <v/>
      </c>
      <c r="K257" s="260">
        <f>[1]預算內選單資料來源!K257</f>
        <v/>
      </c>
      <c r="L257" s="260">
        <f>[1]預算內選單資料來源!L257</f>
        <v/>
      </c>
    </row>
    <row r="258" ht="16.5" customHeight="1" s="124">
      <c r="A258" s="123">
        <f>[1]預算內選單資料來源!A258</f>
        <v/>
      </c>
      <c r="B258" s="260">
        <f>[1]預算內選單資料來源!B258</f>
        <v/>
      </c>
      <c r="C258" s="260">
        <f>[1]預算內選單資料來源!C258</f>
        <v/>
      </c>
      <c r="D258" s="260">
        <f>[1]預算內選單資料來源!D258</f>
        <v/>
      </c>
      <c r="E258" s="260">
        <f>[1]預算內選單資料來源!E258</f>
        <v/>
      </c>
      <c r="F258" s="260">
        <f>[1]預算內選單資料來源!F258</f>
        <v/>
      </c>
      <c r="G258" s="260">
        <f>[1]預算內選單資料來源!G258</f>
        <v/>
      </c>
      <c r="H258" s="260">
        <f>[1]預算內選單資料來源!H258</f>
        <v/>
      </c>
      <c r="I258" s="260">
        <f>[1]預算內選單資料來源!I258</f>
        <v/>
      </c>
      <c r="J258" s="260">
        <f>[1]預算內選單資料來源!J258</f>
        <v/>
      </c>
      <c r="K258" s="260">
        <f>[1]預算內選單資料來源!K258</f>
        <v/>
      </c>
      <c r="L258" s="260">
        <f>[1]預算內選單資料來源!L258</f>
        <v/>
      </c>
    </row>
    <row r="259" ht="16.5" customHeight="1" s="124">
      <c r="A259" s="123">
        <f>[1]預算內選單資料來源!A259</f>
        <v/>
      </c>
      <c r="B259" s="260">
        <f>[1]預算內選單資料來源!B259</f>
        <v/>
      </c>
      <c r="C259" s="260">
        <f>[1]預算內選單資料來源!C259</f>
        <v/>
      </c>
      <c r="D259" s="260">
        <f>[1]預算內選單資料來源!D259</f>
        <v/>
      </c>
      <c r="E259" s="260">
        <f>[1]預算內選單資料來源!E259</f>
        <v/>
      </c>
      <c r="F259" s="260">
        <f>[1]預算內選單資料來源!F259</f>
        <v/>
      </c>
      <c r="G259" s="260">
        <f>[1]預算內選單資料來源!G259</f>
        <v/>
      </c>
      <c r="H259" s="260">
        <f>[1]預算內選單資料來源!H259</f>
        <v/>
      </c>
      <c r="I259" s="260">
        <f>[1]預算內選單資料來源!I259</f>
        <v/>
      </c>
      <c r="J259" s="260">
        <f>[1]預算內選單資料來源!J259</f>
        <v/>
      </c>
      <c r="K259" s="260">
        <f>[1]預算內選單資料來源!K259</f>
        <v/>
      </c>
      <c r="L259" s="260">
        <f>[1]預算內選單資料來源!L259</f>
        <v/>
      </c>
    </row>
    <row r="260" ht="16.5" customHeight="1" s="124">
      <c r="A260" s="123">
        <f>[1]預算內選單資料來源!A260</f>
        <v/>
      </c>
      <c r="B260" s="260">
        <f>[1]預算內選單資料來源!B260</f>
        <v/>
      </c>
      <c r="C260" s="260">
        <f>[1]預算內選單資料來源!C260</f>
        <v/>
      </c>
      <c r="D260" s="260">
        <f>[1]預算內選單資料來源!D260</f>
        <v/>
      </c>
      <c r="E260" s="260">
        <f>[1]預算內選單資料來源!E260</f>
        <v/>
      </c>
      <c r="F260" s="260">
        <f>[1]預算內選單資料來源!F260</f>
        <v/>
      </c>
      <c r="G260" s="260">
        <f>[1]預算內選單資料來源!G260</f>
        <v/>
      </c>
      <c r="H260" s="260">
        <f>[1]預算內選單資料來源!H260</f>
        <v/>
      </c>
      <c r="I260" s="260">
        <f>[1]預算內選單資料來源!I260</f>
        <v/>
      </c>
      <c r="J260" s="260">
        <f>[1]預算內選單資料來源!J260</f>
        <v/>
      </c>
      <c r="K260" s="260">
        <f>[1]預算內選單資料來源!K260</f>
        <v/>
      </c>
      <c r="L260" s="260">
        <f>[1]預算內選單資料來源!L260</f>
        <v/>
      </c>
    </row>
    <row r="261" ht="16.5" customHeight="1" s="124">
      <c r="A261" s="123">
        <f>[1]預算內選單資料來源!A261</f>
        <v/>
      </c>
      <c r="B261" s="260">
        <f>[1]預算內選單資料來源!B261</f>
        <v/>
      </c>
      <c r="C261" s="260">
        <f>[1]預算內選單資料來源!C261</f>
        <v/>
      </c>
      <c r="D261" s="260">
        <f>[1]預算內選單資料來源!D261</f>
        <v/>
      </c>
      <c r="E261" s="260">
        <f>[1]預算內選單資料來源!E261</f>
        <v/>
      </c>
      <c r="F261" s="260">
        <f>[1]預算內選單資料來源!F261</f>
        <v/>
      </c>
      <c r="G261" s="260">
        <f>[1]預算內選單資料來源!G261</f>
        <v/>
      </c>
      <c r="H261" s="260">
        <f>[1]預算內選單資料來源!H261</f>
        <v/>
      </c>
      <c r="I261" s="260">
        <f>[1]預算內選單資料來源!I261</f>
        <v/>
      </c>
      <c r="J261" s="260">
        <f>[1]預算內選單資料來源!J261</f>
        <v/>
      </c>
      <c r="K261" s="260">
        <f>[1]預算內選單資料來源!K261</f>
        <v/>
      </c>
      <c r="L261" s="260">
        <f>[1]預算內選單資料來源!L261</f>
        <v/>
      </c>
    </row>
    <row r="262" ht="16.5" customHeight="1" s="124">
      <c r="A262" s="123">
        <f>[1]預算內選單資料來源!A262</f>
        <v/>
      </c>
      <c r="B262" s="260">
        <f>[1]預算內選單資料來源!B262</f>
        <v/>
      </c>
      <c r="C262" s="260">
        <f>[1]預算內選單資料來源!C262</f>
        <v/>
      </c>
      <c r="D262" s="260">
        <f>[1]預算內選單資料來源!D262</f>
        <v/>
      </c>
      <c r="E262" s="260">
        <f>[1]預算內選單資料來源!E262</f>
        <v/>
      </c>
      <c r="F262" s="260">
        <f>[1]預算內選單資料來源!F262</f>
        <v/>
      </c>
      <c r="G262" s="260">
        <f>[1]預算內選單資料來源!G262</f>
        <v/>
      </c>
      <c r="H262" s="260">
        <f>[1]預算內選單資料來源!H262</f>
        <v/>
      </c>
      <c r="I262" s="260">
        <f>[1]預算內選單資料來源!I262</f>
        <v/>
      </c>
      <c r="J262" s="260">
        <f>[1]預算內選單資料來源!J262</f>
        <v/>
      </c>
      <c r="K262" s="260">
        <f>[1]預算內選單資料來源!K262</f>
        <v/>
      </c>
      <c r="L262" s="260">
        <f>[1]預算內選單資料來源!L262</f>
        <v/>
      </c>
    </row>
    <row r="263" ht="16.5" customHeight="1" s="124">
      <c r="A263" s="123">
        <f>[1]預算內選單資料來源!A263</f>
        <v/>
      </c>
      <c r="B263" s="260">
        <f>[1]預算內選單資料來源!B263</f>
        <v/>
      </c>
      <c r="C263" s="260">
        <f>[1]預算內選單資料來源!C263</f>
        <v/>
      </c>
      <c r="D263" s="260">
        <f>[1]預算內選單資料來源!D263</f>
        <v/>
      </c>
      <c r="E263" s="260">
        <f>[1]預算內選單資料來源!E263</f>
        <v/>
      </c>
      <c r="F263" s="260">
        <f>[1]預算內選單資料來源!F263</f>
        <v/>
      </c>
      <c r="G263" s="260">
        <f>[1]預算內選單資料來源!G263</f>
        <v/>
      </c>
      <c r="H263" s="260">
        <f>[1]預算內選單資料來源!H263</f>
        <v/>
      </c>
      <c r="I263" s="260">
        <f>[1]預算內選單資料來源!I263</f>
        <v/>
      </c>
      <c r="J263" s="260">
        <f>[1]預算內選單資料來源!J263</f>
        <v/>
      </c>
      <c r="K263" s="260">
        <f>[1]預算內選單資料來源!K263</f>
        <v/>
      </c>
      <c r="L263" s="260">
        <f>[1]預算內選單資料來源!L263</f>
        <v/>
      </c>
    </row>
    <row r="264" ht="16.5" customHeight="1" s="124">
      <c r="A264" s="123">
        <f>[1]預算內選單資料來源!A264</f>
        <v/>
      </c>
      <c r="B264" s="260">
        <f>[1]預算內選單資料來源!B264</f>
        <v/>
      </c>
      <c r="C264" s="260">
        <f>[1]預算內選單資料來源!C264</f>
        <v/>
      </c>
      <c r="D264" s="260">
        <f>[1]預算內選單資料來源!D264</f>
        <v/>
      </c>
      <c r="E264" s="260">
        <f>[1]預算內選單資料來源!E264</f>
        <v/>
      </c>
      <c r="F264" s="260">
        <f>[1]預算內選單資料來源!F264</f>
        <v/>
      </c>
      <c r="G264" s="260">
        <f>[1]預算內選單資料來源!G264</f>
        <v/>
      </c>
      <c r="H264" s="260">
        <f>[1]預算內選單資料來源!H264</f>
        <v/>
      </c>
      <c r="I264" s="260">
        <f>[1]預算內選單資料來源!I264</f>
        <v/>
      </c>
      <c r="J264" s="260">
        <f>[1]預算內選單資料來源!J264</f>
        <v/>
      </c>
      <c r="K264" s="260">
        <f>[1]預算內選單資料來源!K264</f>
        <v/>
      </c>
      <c r="L264" s="260">
        <f>[1]預算內選單資料來源!L264</f>
        <v/>
      </c>
    </row>
    <row r="265" ht="16.5" customHeight="1" s="124">
      <c r="A265" s="123">
        <f>[1]預算內選單資料來源!A265</f>
        <v/>
      </c>
      <c r="B265" s="260">
        <f>[1]預算內選單資料來源!B265</f>
        <v/>
      </c>
      <c r="C265" s="260">
        <f>[1]預算內選單資料來源!C265</f>
        <v/>
      </c>
      <c r="D265" s="260">
        <f>[1]預算內選單資料來源!D265</f>
        <v/>
      </c>
      <c r="E265" s="260">
        <f>[1]預算內選單資料來源!E265</f>
        <v/>
      </c>
      <c r="F265" s="260">
        <f>[1]預算內選單資料來源!F265</f>
        <v/>
      </c>
      <c r="G265" s="260">
        <f>[1]預算內選單資料來源!G265</f>
        <v/>
      </c>
      <c r="H265" s="260">
        <f>[1]預算內選單資料來源!H265</f>
        <v/>
      </c>
      <c r="I265" s="260">
        <f>[1]預算內選單資料來源!I265</f>
        <v/>
      </c>
      <c r="J265" s="260">
        <f>[1]預算內選單資料來源!J265</f>
        <v/>
      </c>
      <c r="K265" s="260">
        <f>[1]預算內選單資料來源!K265</f>
        <v/>
      </c>
      <c r="L265" s="260">
        <f>[1]預算內選單資料來源!L265</f>
        <v/>
      </c>
    </row>
    <row r="266" ht="16.5" customHeight="1" s="124">
      <c r="A266" s="123">
        <f>[1]預算內選單資料來源!A266</f>
        <v/>
      </c>
      <c r="B266" s="260">
        <f>[1]預算內選單資料來源!B266</f>
        <v/>
      </c>
      <c r="C266" s="260">
        <f>[1]預算內選單資料來源!C266</f>
        <v/>
      </c>
      <c r="D266" s="260">
        <f>[1]預算內選單資料來源!D266</f>
        <v/>
      </c>
      <c r="E266" s="260">
        <f>[1]預算內選單資料來源!E266</f>
        <v/>
      </c>
      <c r="F266" s="260">
        <f>[1]預算內選單資料來源!F266</f>
        <v/>
      </c>
      <c r="G266" s="260">
        <f>[1]預算內選單資料來源!G266</f>
        <v/>
      </c>
      <c r="H266" s="260">
        <f>[1]預算內選單資料來源!H266</f>
        <v/>
      </c>
      <c r="I266" s="260">
        <f>[1]預算內選單資料來源!I266</f>
        <v/>
      </c>
      <c r="J266" s="260">
        <f>[1]預算內選單資料來源!J266</f>
        <v/>
      </c>
      <c r="K266" s="260">
        <f>[1]預算內選單資料來源!K266</f>
        <v/>
      </c>
      <c r="L266" s="260">
        <f>[1]預算內選單資料來源!L266</f>
        <v/>
      </c>
    </row>
    <row r="267" ht="16.5" customHeight="1" s="124">
      <c r="A267" s="123">
        <f>[1]預算內選單資料來源!A267</f>
        <v/>
      </c>
      <c r="B267" s="260">
        <f>[1]預算內選單資料來源!B267</f>
        <v/>
      </c>
      <c r="C267" s="260">
        <f>[1]預算內選單資料來源!C267</f>
        <v/>
      </c>
      <c r="D267" s="260">
        <f>[1]預算內選單資料來源!D267</f>
        <v/>
      </c>
      <c r="E267" s="260">
        <f>[1]預算內選單資料來源!E267</f>
        <v/>
      </c>
      <c r="F267" s="260">
        <f>[1]預算內選單資料來源!F267</f>
        <v/>
      </c>
      <c r="G267" s="260">
        <f>[1]預算內選單資料來源!G267</f>
        <v/>
      </c>
      <c r="H267" s="260">
        <f>[1]預算內選單資料來源!H267</f>
        <v/>
      </c>
      <c r="I267" s="260">
        <f>[1]預算內選單資料來源!I267</f>
        <v/>
      </c>
      <c r="J267" s="260">
        <f>[1]預算內選單資料來源!J267</f>
        <v/>
      </c>
      <c r="K267" s="260">
        <f>[1]預算內選單資料來源!K267</f>
        <v/>
      </c>
      <c r="L267" s="260">
        <f>[1]預算內選單資料來源!L267</f>
        <v/>
      </c>
    </row>
    <row r="268" ht="16.5" customHeight="1" s="124">
      <c r="A268" s="123">
        <f>[1]預算內選單資料來源!A268</f>
        <v/>
      </c>
      <c r="B268" s="260">
        <f>[1]預算內選單資料來源!B268</f>
        <v/>
      </c>
      <c r="C268" s="260">
        <f>[1]預算內選單資料來源!C268</f>
        <v/>
      </c>
      <c r="D268" s="260">
        <f>[1]預算內選單資料來源!D268</f>
        <v/>
      </c>
      <c r="E268" s="260">
        <f>[1]預算內選單資料來源!E268</f>
        <v/>
      </c>
      <c r="F268" s="260">
        <f>[1]預算內選單資料來源!F268</f>
        <v/>
      </c>
      <c r="G268" s="260">
        <f>[1]預算內選單資料來源!G268</f>
        <v/>
      </c>
      <c r="H268" s="260">
        <f>[1]預算內選單資料來源!H268</f>
        <v/>
      </c>
      <c r="I268" s="260">
        <f>[1]預算內選單資料來源!I268</f>
        <v/>
      </c>
      <c r="J268" s="260">
        <f>[1]預算內選單資料來源!J268</f>
        <v/>
      </c>
      <c r="K268" s="260">
        <f>[1]預算內選單資料來源!K268</f>
        <v/>
      </c>
      <c r="L268" s="260">
        <f>[1]預算內選單資料來源!L268</f>
        <v/>
      </c>
    </row>
    <row r="269" ht="16.5" customHeight="1" s="124">
      <c r="A269" s="123">
        <f>[1]預算內選單資料來源!A269</f>
        <v/>
      </c>
      <c r="B269" s="260">
        <f>[1]預算內選單資料來源!B269</f>
        <v/>
      </c>
      <c r="C269" s="260">
        <f>[1]預算內選單資料來源!C269</f>
        <v/>
      </c>
      <c r="D269" s="260">
        <f>[1]預算內選單資料來源!D269</f>
        <v/>
      </c>
      <c r="E269" s="260">
        <f>[1]預算內選單資料來源!E269</f>
        <v/>
      </c>
      <c r="F269" s="260">
        <f>[1]預算內選單資料來源!F269</f>
        <v/>
      </c>
      <c r="G269" s="260">
        <f>[1]預算內選單資料來源!G269</f>
        <v/>
      </c>
      <c r="H269" s="260">
        <f>[1]預算內選單資料來源!H269</f>
        <v/>
      </c>
      <c r="I269" s="260">
        <f>[1]預算內選單資料來源!I269</f>
        <v/>
      </c>
      <c r="J269" s="260">
        <f>[1]預算內選單資料來源!J269</f>
        <v/>
      </c>
      <c r="K269" s="260">
        <f>[1]預算內選單資料來源!K269</f>
        <v/>
      </c>
      <c r="L269" s="260">
        <f>[1]預算內選單資料來源!L269</f>
        <v/>
      </c>
    </row>
    <row r="270" ht="16.5" customHeight="1" s="124">
      <c r="A270" s="123">
        <f>[1]預算內選單資料來源!A270</f>
        <v/>
      </c>
      <c r="B270" s="260">
        <f>[1]預算內選單資料來源!B270</f>
        <v/>
      </c>
      <c r="C270" s="260">
        <f>[1]預算內選單資料來源!C270</f>
        <v/>
      </c>
      <c r="D270" s="260">
        <f>[1]預算內選單資料來源!D270</f>
        <v/>
      </c>
      <c r="E270" s="260">
        <f>[1]預算內選單資料來源!E270</f>
        <v/>
      </c>
      <c r="F270" s="260">
        <f>[1]預算內選單資料來源!F270</f>
        <v/>
      </c>
      <c r="G270" s="260">
        <f>[1]預算內選單資料來源!G270</f>
        <v/>
      </c>
      <c r="H270" s="260">
        <f>[1]預算內選單資料來源!H270</f>
        <v/>
      </c>
      <c r="I270" s="260">
        <f>[1]預算內選單資料來源!I270</f>
        <v/>
      </c>
      <c r="J270" s="260">
        <f>[1]預算內選單資料來源!J270</f>
        <v/>
      </c>
      <c r="K270" s="260">
        <f>[1]預算內選單資料來源!K270</f>
        <v/>
      </c>
      <c r="L270" s="260">
        <f>[1]預算內選單資料來源!L270</f>
        <v/>
      </c>
    </row>
    <row r="271" ht="16.5" customHeight="1" s="124">
      <c r="A271" s="123">
        <f>[1]預算內選單資料來源!A271</f>
        <v/>
      </c>
      <c r="B271" s="260">
        <f>[1]預算內選單資料來源!B271</f>
        <v/>
      </c>
      <c r="C271" s="260">
        <f>[1]預算內選單資料來源!C271</f>
        <v/>
      </c>
      <c r="D271" s="260">
        <f>[1]預算內選單資料來源!D271</f>
        <v/>
      </c>
      <c r="E271" s="260">
        <f>[1]預算內選單資料來源!E271</f>
        <v/>
      </c>
      <c r="F271" s="260">
        <f>[1]預算內選單資料來源!F271</f>
        <v/>
      </c>
      <c r="G271" s="260">
        <f>[1]預算內選單資料來源!G271</f>
        <v/>
      </c>
      <c r="H271" s="260">
        <f>[1]預算內選單資料來源!H271</f>
        <v/>
      </c>
      <c r="I271" s="260">
        <f>[1]預算內選單資料來源!I271</f>
        <v/>
      </c>
      <c r="J271" s="260">
        <f>[1]預算內選單資料來源!J271</f>
        <v/>
      </c>
      <c r="K271" s="260">
        <f>[1]預算內選單資料來源!K271</f>
        <v/>
      </c>
      <c r="L271" s="260">
        <f>[1]預算內選單資料來源!L271</f>
        <v/>
      </c>
    </row>
    <row r="272" ht="16.5" customHeight="1" s="124">
      <c r="A272" s="123">
        <f>[1]預算內選單資料來源!A272</f>
        <v/>
      </c>
      <c r="B272" s="260">
        <f>[1]預算內選單資料來源!B272</f>
        <v/>
      </c>
      <c r="C272" s="260">
        <f>[1]預算內選單資料來源!C272</f>
        <v/>
      </c>
      <c r="D272" s="260">
        <f>[1]預算內選單資料來源!D272</f>
        <v/>
      </c>
      <c r="E272" s="260">
        <f>[1]預算內選單資料來源!E272</f>
        <v/>
      </c>
      <c r="F272" s="260">
        <f>[1]預算內選單資料來源!F272</f>
        <v/>
      </c>
      <c r="G272" s="260">
        <f>[1]預算內選單資料來源!G272</f>
        <v/>
      </c>
      <c r="H272" s="260">
        <f>[1]預算內選單資料來源!H272</f>
        <v/>
      </c>
      <c r="I272" s="260">
        <f>[1]預算內選單資料來源!I272</f>
        <v/>
      </c>
      <c r="J272" s="260">
        <f>[1]預算內選單資料來源!J272</f>
        <v/>
      </c>
      <c r="K272" s="260">
        <f>[1]預算內選單資料來源!K272</f>
        <v/>
      </c>
      <c r="L272" s="260">
        <f>[1]預算內選單資料來源!L272</f>
        <v/>
      </c>
    </row>
    <row r="273" ht="16.5" customHeight="1" s="124">
      <c r="A273" s="123">
        <f>[1]預算內選單資料來源!A273</f>
        <v/>
      </c>
      <c r="B273" s="260">
        <f>[1]預算內選單資料來源!B273</f>
        <v/>
      </c>
      <c r="C273" s="260">
        <f>[1]預算內選單資料來源!C273</f>
        <v/>
      </c>
      <c r="D273" s="260">
        <f>[1]預算內選單資料來源!D273</f>
        <v/>
      </c>
      <c r="E273" s="260">
        <f>[1]預算內選單資料來源!E273</f>
        <v/>
      </c>
      <c r="F273" s="260">
        <f>[1]預算內選單資料來源!F273</f>
        <v/>
      </c>
      <c r="G273" s="260">
        <f>[1]預算內選單資料來源!G273</f>
        <v/>
      </c>
      <c r="H273" s="260">
        <f>[1]預算內選單資料來源!H273</f>
        <v/>
      </c>
      <c r="I273" s="260">
        <f>[1]預算內選單資料來源!I273</f>
        <v/>
      </c>
      <c r="J273" s="260">
        <f>[1]預算內選單資料來源!J273</f>
        <v/>
      </c>
      <c r="K273" s="260">
        <f>[1]預算內選單資料來源!K273</f>
        <v/>
      </c>
      <c r="L273" s="260">
        <f>[1]預算內選單資料來源!L273</f>
        <v/>
      </c>
    </row>
    <row r="274" ht="16.5" customHeight="1" s="124">
      <c r="A274" s="123">
        <f>[1]預算內選單資料來源!A274</f>
        <v/>
      </c>
      <c r="B274" s="260">
        <f>[1]預算內選單資料來源!B274</f>
        <v/>
      </c>
      <c r="C274" s="260">
        <f>[1]預算內選單資料來源!C274</f>
        <v/>
      </c>
      <c r="D274" s="260">
        <f>[1]預算內選單資料來源!D274</f>
        <v/>
      </c>
      <c r="E274" s="260">
        <f>[1]預算內選單資料來源!E274</f>
        <v/>
      </c>
      <c r="F274" s="260">
        <f>[1]預算內選單資料來源!F274</f>
        <v/>
      </c>
      <c r="G274" s="260">
        <f>[1]預算內選單資料來源!G274</f>
        <v/>
      </c>
      <c r="H274" s="260">
        <f>[1]預算內選單資料來源!H274</f>
        <v/>
      </c>
      <c r="I274" s="260">
        <f>[1]預算內選單資料來源!I274</f>
        <v/>
      </c>
      <c r="J274" s="260">
        <f>[1]預算內選單資料來源!J274</f>
        <v/>
      </c>
      <c r="K274" s="260">
        <f>[1]預算內選單資料來源!K274</f>
        <v/>
      </c>
      <c r="L274" s="260">
        <f>[1]預算內選單資料來源!L274</f>
        <v/>
      </c>
    </row>
    <row r="275" ht="16.5" customHeight="1" s="124">
      <c r="A275" s="123">
        <f>[1]預算內選單資料來源!A275</f>
        <v/>
      </c>
      <c r="B275" s="260">
        <f>[1]預算內選單資料來源!B275</f>
        <v/>
      </c>
      <c r="C275" s="260">
        <f>[1]預算內選單資料來源!C275</f>
        <v/>
      </c>
      <c r="D275" s="260">
        <f>[1]預算內選單資料來源!D275</f>
        <v/>
      </c>
      <c r="E275" s="260">
        <f>[1]預算內選單資料來源!E275</f>
        <v/>
      </c>
      <c r="F275" s="260">
        <f>[1]預算內選單資料來源!F275</f>
        <v/>
      </c>
      <c r="G275" s="260">
        <f>[1]預算內選單資料來源!G275</f>
        <v/>
      </c>
      <c r="H275" s="260">
        <f>[1]預算內選單資料來源!H275</f>
        <v/>
      </c>
      <c r="I275" s="260">
        <f>[1]預算內選單資料來源!I275</f>
        <v/>
      </c>
      <c r="J275" s="260">
        <f>[1]預算內選單資料來源!J275</f>
        <v/>
      </c>
      <c r="K275" s="260">
        <f>[1]預算內選單資料來源!K275</f>
        <v/>
      </c>
      <c r="L275" s="260">
        <f>[1]預算內選單資料來源!L275</f>
        <v/>
      </c>
    </row>
    <row r="276" ht="16.5" customHeight="1" s="124">
      <c r="A276" s="123">
        <f>[1]預算內選單資料來源!A276</f>
        <v/>
      </c>
      <c r="B276" s="260">
        <f>[1]預算內選單資料來源!B276</f>
        <v/>
      </c>
      <c r="C276" s="260">
        <f>[1]預算內選單資料來源!C276</f>
        <v/>
      </c>
      <c r="D276" s="260">
        <f>[1]預算內選單資料來源!D276</f>
        <v/>
      </c>
      <c r="E276" s="260">
        <f>[1]預算內選單資料來源!E276</f>
        <v/>
      </c>
      <c r="F276" s="260">
        <f>[1]預算內選單資料來源!F276</f>
        <v/>
      </c>
      <c r="G276" s="260">
        <f>[1]預算內選單資料來源!G276</f>
        <v/>
      </c>
      <c r="H276" s="260">
        <f>[1]預算內選單資料來源!H276</f>
        <v/>
      </c>
      <c r="I276" s="260">
        <f>[1]預算內選單資料來源!I276</f>
        <v/>
      </c>
      <c r="J276" s="260">
        <f>[1]預算內選單資料來源!J276</f>
        <v/>
      </c>
      <c r="K276" s="260">
        <f>[1]預算內選單資料來源!K276</f>
        <v/>
      </c>
      <c r="L276" s="260">
        <f>[1]預算內選單資料來源!L276</f>
        <v/>
      </c>
    </row>
    <row r="277" ht="16.5" customHeight="1" s="124">
      <c r="A277" s="123">
        <f>[1]預算內選單資料來源!A277</f>
        <v/>
      </c>
      <c r="B277" s="260">
        <f>[1]預算內選單資料來源!B277</f>
        <v/>
      </c>
      <c r="C277" s="260">
        <f>[1]預算內選單資料來源!C277</f>
        <v/>
      </c>
      <c r="D277" s="260">
        <f>[1]預算內選單資料來源!D277</f>
        <v/>
      </c>
      <c r="E277" s="260">
        <f>[1]預算內選單資料來源!E277</f>
        <v/>
      </c>
      <c r="F277" s="260">
        <f>[1]預算內選單資料來源!F277</f>
        <v/>
      </c>
      <c r="G277" s="260">
        <f>[1]預算內選單資料來源!G277</f>
        <v/>
      </c>
      <c r="H277" s="260">
        <f>[1]預算內選單資料來源!H277</f>
        <v/>
      </c>
      <c r="I277" s="260">
        <f>[1]預算內選單資料來源!I277</f>
        <v/>
      </c>
      <c r="J277" s="260">
        <f>[1]預算內選單資料來源!J277</f>
        <v/>
      </c>
      <c r="K277" s="260">
        <f>[1]預算內選單資料來源!K277</f>
        <v/>
      </c>
      <c r="L277" s="260">
        <f>[1]預算內選單資料來源!L277</f>
        <v/>
      </c>
    </row>
    <row r="278" ht="16.5" customHeight="1" s="124">
      <c r="A278" s="123">
        <f>[1]預算內選單資料來源!A278</f>
        <v/>
      </c>
      <c r="B278" s="260">
        <f>[1]預算內選單資料來源!B278</f>
        <v/>
      </c>
      <c r="C278" s="260">
        <f>[1]預算內選單資料來源!C278</f>
        <v/>
      </c>
      <c r="D278" s="260">
        <f>[1]預算內選單資料來源!D278</f>
        <v/>
      </c>
      <c r="E278" s="260">
        <f>[1]預算內選單資料來源!E278</f>
        <v/>
      </c>
      <c r="F278" s="260">
        <f>[1]預算內選單資料來源!F278</f>
        <v/>
      </c>
      <c r="G278" s="260">
        <f>[1]預算內選單資料來源!G278</f>
        <v/>
      </c>
      <c r="H278" s="260">
        <f>[1]預算內選單資料來源!H278</f>
        <v/>
      </c>
      <c r="I278" s="260">
        <f>[1]預算內選單資料來源!I278</f>
        <v/>
      </c>
      <c r="J278" s="260">
        <f>[1]預算內選單資料來源!J278</f>
        <v/>
      </c>
      <c r="K278" s="260">
        <f>[1]預算內選單資料來源!K278</f>
        <v/>
      </c>
      <c r="L278" s="260">
        <f>[1]預算內選單資料來源!L278</f>
        <v/>
      </c>
    </row>
    <row r="279" ht="16.5" customHeight="1" s="124">
      <c r="A279" s="123">
        <f>[1]預算內選單資料來源!A279</f>
        <v/>
      </c>
      <c r="B279" s="260">
        <f>[1]預算內選單資料來源!B279</f>
        <v/>
      </c>
      <c r="C279" s="260">
        <f>[1]預算內選單資料來源!C279</f>
        <v/>
      </c>
      <c r="D279" s="260">
        <f>[1]預算內選單資料來源!D279</f>
        <v/>
      </c>
      <c r="E279" s="260">
        <f>[1]預算內選單資料來源!E279</f>
        <v/>
      </c>
      <c r="F279" s="260">
        <f>[1]預算內選單資料來源!F279</f>
        <v/>
      </c>
      <c r="G279" s="260">
        <f>[1]預算內選單資料來源!G279</f>
        <v/>
      </c>
      <c r="H279" s="260">
        <f>[1]預算內選單資料來源!H279</f>
        <v/>
      </c>
      <c r="I279" s="260">
        <f>[1]預算內選單資料來源!I279</f>
        <v/>
      </c>
      <c r="J279" s="260">
        <f>[1]預算內選單資料來源!J279</f>
        <v/>
      </c>
      <c r="K279" s="260">
        <f>[1]預算內選單資料來源!K279</f>
        <v/>
      </c>
      <c r="L279" s="260">
        <f>[1]預算內選單資料來源!L279</f>
        <v/>
      </c>
    </row>
    <row r="280" ht="16.5" customHeight="1" s="124">
      <c r="A280" s="123">
        <f>[1]預算內選單資料來源!A280</f>
        <v/>
      </c>
      <c r="B280" s="260">
        <f>[1]預算內選單資料來源!B280</f>
        <v/>
      </c>
      <c r="C280" s="260">
        <f>[1]預算內選單資料來源!C280</f>
        <v/>
      </c>
      <c r="D280" s="260">
        <f>[1]預算內選單資料來源!D280</f>
        <v/>
      </c>
      <c r="E280" s="260">
        <f>[1]預算內選單資料來源!E280</f>
        <v/>
      </c>
      <c r="F280" s="260">
        <f>[1]預算內選單資料來源!F280</f>
        <v/>
      </c>
      <c r="G280" s="260">
        <f>[1]預算內選單資料來源!G280</f>
        <v/>
      </c>
      <c r="H280" s="260">
        <f>[1]預算內選單資料來源!H280</f>
        <v/>
      </c>
      <c r="I280" s="260">
        <f>[1]預算內選單資料來源!I280</f>
        <v/>
      </c>
      <c r="J280" s="260">
        <f>[1]預算內選單資料來源!J280</f>
        <v/>
      </c>
      <c r="K280" s="260">
        <f>[1]預算內選單資料來源!K280</f>
        <v/>
      </c>
      <c r="L280" s="260">
        <f>[1]預算內選單資料來源!L280</f>
        <v/>
      </c>
    </row>
    <row r="281" ht="16.5" customHeight="1" s="124">
      <c r="A281" s="123">
        <f>[1]預算內選單資料來源!A281</f>
        <v/>
      </c>
      <c r="B281" s="260">
        <f>[1]預算內選單資料來源!B281</f>
        <v/>
      </c>
      <c r="C281" s="260">
        <f>[1]預算內選單資料來源!C281</f>
        <v/>
      </c>
      <c r="D281" s="260">
        <f>[1]預算內選單資料來源!D281</f>
        <v/>
      </c>
      <c r="E281" s="260">
        <f>[1]預算內選單資料來源!E281</f>
        <v/>
      </c>
      <c r="F281" s="260">
        <f>[1]預算內選單資料來源!F281</f>
        <v/>
      </c>
      <c r="G281" s="260">
        <f>[1]預算內選單資料來源!G281</f>
        <v/>
      </c>
      <c r="H281" s="260">
        <f>[1]預算內選單資料來源!H281</f>
        <v/>
      </c>
      <c r="I281" s="260">
        <f>[1]預算內選單資料來源!I281</f>
        <v/>
      </c>
      <c r="J281" s="260">
        <f>[1]預算內選單資料來源!J281</f>
        <v/>
      </c>
      <c r="K281" s="260">
        <f>[1]預算內選單資料來源!K281</f>
        <v/>
      </c>
      <c r="L281" s="260">
        <f>[1]預算內選單資料來源!L281</f>
        <v/>
      </c>
    </row>
    <row r="282" ht="16.5" customHeight="1" s="124">
      <c r="A282" s="123">
        <f>[1]預算內選單資料來源!A282</f>
        <v/>
      </c>
      <c r="B282" s="260">
        <f>[1]預算內選單資料來源!B282</f>
        <v/>
      </c>
      <c r="C282" s="260">
        <f>[1]預算內選單資料來源!C282</f>
        <v/>
      </c>
      <c r="D282" s="260">
        <f>[1]預算內選單資料來源!D282</f>
        <v/>
      </c>
      <c r="E282" s="260">
        <f>[1]預算內選單資料來源!E282</f>
        <v/>
      </c>
      <c r="F282" s="260">
        <f>[1]預算內選單資料來源!F282</f>
        <v/>
      </c>
      <c r="G282" s="260">
        <f>[1]預算內選單資料來源!G282</f>
        <v/>
      </c>
      <c r="H282" s="260">
        <f>[1]預算內選單資料來源!H282</f>
        <v/>
      </c>
      <c r="I282" s="260">
        <f>[1]預算內選單資料來源!I282</f>
        <v/>
      </c>
      <c r="J282" s="260">
        <f>[1]預算內選單資料來源!J282</f>
        <v/>
      </c>
      <c r="K282" s="260">
        <f>[1]預算內選單資料來源!K282</f>
        <v/>
      </c>
      <c r="L282" s="260">
        <f>[1]預算內選單資料來源!L282</f>
        <v/>
      </c>
    </row>
    <row r="283" ht="16.5" customHeight="1" s="124">
      <c r="A283" s="123">
        <f>[1]預算內選單資料來源!A283</f>
        <v/>
      </c>
      <c r="B283" s="260">
        <f>[1]預算內選單資料來源!B283</f>
        <v/>
      </c>
      <c r="C283" s="260">
        <f>[1]預算內選單資料來源!C283</f>
        <v/>
      </c>
      <c r="D283" s="260">
        <f>[1]預算內選單資料來源!D283</f>
        <v/>
      </c>
      <c r="E283" s="260">
        <f>[1]預算內選單資料來源!E283</f>
        <v/>
      </c>
      <c r="F283" s="260">
        <f>[1]預算內選單資料來源!F283</f>
        <v/>
      </c>
      <c r="G283" s="260">
        <f>[1]預算內選單資料來源!G283</f>
        <v/>
      </c>
      <c r="H283" s="260">
        <f>[1]預算內選單資料來源!H283</f>
        <v/>
      </c>
      <c r="I283" s="260">
        <f>[1]預算內選單資料來源!I283</f>
        <v/>
      </c>
      <c r="J283" s="260">
        <f>[1]預算內選單資料來源!J283</f>
        <v/>
      </c>
      <c r="K283" s="260">
        <f>[1]預算內選單資料來源!K283</f>
        <v/>
      </c>
      <c r="L283" s="260">
        <f>[1]預算內選單資料來源!L283</f>
        <v/>
      </c>
    </row>
    <row r="284" ht="16.5" customHeight="1" s="124">
      <c r="A284" s="123">
        <f>[1]預算內選單資料來源!A284</f>
        <v/>
      </c>
      <c r="B284" s="260">
        <f>[1]預算內選單資料來源!B284</f>
        <v/>
      </c>
      <c r="C284" s="260">
        <f>[1]預算內選單資料來源!C284</f>
        <v/>
      </c>
      <c r="D284" s="260">
        <f>[1]預算內選單資料來源!D284</f>
        <v/>
      </c>
      <c r="E284" s="260">
        <f>[1]預算內選單資料來源!E284</f>
        <v/>
      </c>
      <c r="F284" s="260">
        <f>[1]預算內選單資料來源!F284</f>
        <v/>
      </c>
      <c r="G284" s="260">
        <f>[1]預算內選單資料來源!G284</f>
        <v/>
      </c>
      <c r="H284" s="260">
        <f>[1]預算內選單資料來源!H284</f>
        <v/>
      </c>
      <c r="I284" s="260">
        <f>[1]預算內選單資料來源!I284</f>
        <v/>
      </c>
      <c r="J284" s="260">
        <f>[1]預算內選單資料來源!J284</f>
        <v/>
      </c>
      <c r="K284" s="260">
        <f>[1]預算內選單資料來源!K284</f>
        <v/>
      </c>
      <c r="L284" s="260">
        <f>[1]預算內選單資料來源!L284</f>
        <v/>
      </c>
    </row>
    <row r="285" ht="16.5" customHeight="1" s="124">
      <c r="A285" s="123">
        <f>[1]預算內選單資料來源!A285</f>
        <v/>
      </c>
      <c r="B285" s="260">
        <f>[1]預算內選單資料來源!B285</f>
        <v/>
      </c>
      <c r="C285" s="260">
        <f>[1]預算內選單資料來源!C285</f>
        <v/>
      </c>
      <c r="D285" s="260">
        <f>[1]預算內選單資料來源!D285</f>
        <v/>
      </c>
      <c r="E285" s="260">
        <f>[1]預算內選單資料來源!E285</f>
        <v/>
      </c>
      <c r="F285" s="260">
        <f>[1]預算內選單資料來源!F285</f>
        <v/>
      </c>
      <c r="G285" s="260">
        <f>[1]預算內選單資料來源!G285</f>
        <v/>
      </c>
      <c r="H285" s="260">
        <f>[1]預算內選單資料來源!H285</f>
        <v/>
      </c>
      <c r="I285" s="260">
        <f>[1]預算內選單資料來源!I285</f>
        <v/>
      </c>
      <c r="J285" s="260">
        <f>[1]預算內選單資料來源!J285</f>
        <v/>
      </c>
      <c r="K285" s="260">
        <f>[1]預算內選單資料來源!K285</f>
        <v/>
      </c>
      <c r="L285" s="260">
        <f>[1]預算內選單資料來源!L285</f>
        <v/>
      </c>
    </row>
    <row r="286" ht="16.5" customHeight="1" s="124">
      <c r="A286" s="123">
        <f>[1]預算內選單資料來源!A286</f>
        <v/>
      </c>
      <c r="B286" s="260">
        <f>[1]預算內選單資料來源!B286</f>
        <v/>
      </c>
      <c r="C286" s="260">
        <f>[1]預算內選單資料來源!C286</f>
        <v/>
      </c>
      <c r="D286" s="260">
        <f>[1]預算內選單資料來源!D286</f>
        <v/>
      </c>
      <c r="E286" s="260">
        <f>[1]預算內選單資料來源!E286</f>
        <v/>
      </c>
      <c r="F286" s="260">
        <f>[1]預算內選單資料來源!F286</f>
        <v/>
      </c>
      <c r="G286" s="260">
        <f>[1]預算內選單資料來源!G286</f>
        <v/>
      </c>
      <c r="H286" s="260">
        <f>[1]預算內選單資料來源!H286</f>
        <v/>
      </c>
      <c r="I286" s="260">
        <f>[1]預算內選單資料來源!I286</f>
        <v/>
      </c>
      <c r="J286" s="260">
        <f>[1]預算內選單資料來源!J286</f>
        <v/>
      </c>
      <c r="K286" s="260">
        <f>[1]預算內選單資料來源!K286</f>
        <v/>
      </c>
      <c r="L286" s="260">
        <f>[1]預算內選單資料來源!L286</f>
        <v/>
      </c>
    </row>
    <row r="287" ht="16.5" customHeight="1" s="124">
      <c r="A287" s="123">
        <f>[1]預算內選單資料來源!A287</f>
        <v/>
      </c>
      <c r="B287" s="260">
        <f>[1]預算內選單資料來源!B287</f>
        <v/>
      </c>
      <c r="C287" s="260">
        <f>[1]預算內選單資料來源!C287</f>
        <v/>
      </c>
      <c r="D287" s="260">
        <f>[1]預算內選單資料來源!D287</f>
        <v/>
      </c>
      <c r="E287" s="260">
        <f>[1]預算內選單資料來源!E287</f>
        <v/>
      </c>
      <c r="F287" s="260">
        <f>[1]預算內選單資料來源!F287</f>
        <v/>
      </c>
      <c r="G287" s="260">
        <f>[1]預算內選單資料來源!G287</f>
        <v/>
      </c>
      <c r="H287" s="260">
        <f>[1]預算內選單資料來源!H287</f>
        <v/>
      </c>
      <c r="I287" s="260">
        <f>[1]預算內選單資料來源!I287</f>
        <v/>
      </c>
      <c r="J287" s="260">
        <f>[1]預算內選單資料來源!J287</f>
        <v/>
      </c>
      <c r="K287" s="260">
        <f>[1]預算內選單資料來源!K287</f>
        <v/>
      </c>
      <c r="L287" s="260">
        <f>[1]預算內選單資料來源!L287</f>
        <v/>
      </c>
    </row>
    <row r="288" ht="16.5" customHeight="1" s="124">
      <c r="A288" s="123">
        <f>[1]預算內選單資料來源!A288</f>
        <v/>
      </c>
      <c r="B288" s="260">
        <f>[1]預算內選單資料來源!B288</f>
        <v/>
      </c>
      <c r="C288" s="260">
        <f>[1]預算內選單資料來源!C288</f>
        <v/>
      </c>
      <c r="D288" s="260">
        <f>[1]預算內選單資料來源!D288</f>
        <v/>
      </c>
      <c r="E288" s="260">
        <f>[1]預算內選單資料來源!E288</f>
        <v/>
      </c>
      <c r="F288" s="260">
        <f>[1]預算內選單資料來源!F288</f>
        <v/>
      </c>
      <c r="G288" s="260">
        <f>[1]預算內選單資料來源!G288</f>
        <v/>
      </c>
      <c r="H288" s="260">
        <f>[1]預算內選單資料來源!H288</f>
        <v/>
      </c>
      <c r="I288" s="260">
        <f>[1]預算內選單資料來源!I288</f>
        <v/>
      </c>
      <c r="J288" s="260">
        <f>[1]預算內選單資料來源!J288</f>
        <v/>
      </c>
      <c r="K288" s="260">
        <f>[1]預算內選單資料來源!K288</f>
        <v/>
      </c>
      <c r="L288" s="260">
        <f>[1]預算內選單資料來源!L288</f>
        <v/>
      </c>
    </row>
    <row r="289" ht="16.5" customHeight="1" s="124">
      <c r="A289" s="123">
        <f>[1]預算內選單資料來源!A289</f>
        <v/>
      </c>
      <c r="B289" s="260">
        <f>[1]預算內選單資料來源!B289</f>
        <v/>
      </c>
      <c r="C289" s="260">
        <f>[1]預算內選單資料來源!C289</f>
        <v/>
      </c>
      <c r="D289" s="260">
        <f>[1]預算內選單資料來源!D289</f>
        <v/>
      </c>
      <c r="E289" s="260">
        <f>[1]預算內選單資料來源!E289</f>
        <v/>
      </c>
      <c r="F289" s="260">
        <f>[1]預算內選單資料來源!F289</f>
        <v/>
      </c>
      <c r="G289" s="260">
        <f>[1]預算內選單資料來源!G289</f>
        <v/>
      </c>
      <c r="H289" s="260">
        <f>[1]預算內選單資料來源!H289</f>
        <v/>
      </c>
      <c r="I289" s="260">
        <f>[1]預算內選單資料來源!I289</f>
        <v/>
      </c>
      <c r="J289" s="260">
        <f>[1]預算內選單資料來源!J289</f>
        <v/>
      </c>
      <c r="K289" s="260">
        <f>[1]預算內選單資料來源!K289</f>
        <v/>
      </c>
      <c r="L289" s="260">
        <f>[1]預算內選單資料來源!L289</f>
        <v/>
      </c>
    </row>
    <row r="290" ht="16.5" customHeight="1" s="124">
      <c r="A290" s="123">
        <f>[1]預算內選單資料來源!A290</f>
        <v/>
      </c>
      <c r="B290" s="260">
        <f>[1]預算內選單資料來源!B290</f>
        <v/>
      </c>
      <c r="C290" s="260">
        <f>[1]預算內選單資料來源!C290</f>
        <v/>
      </c>
      <c r="D290" s="260">
        <f>[1]預算內選單資料來源!D290</f>
        <v/>
      </c>
      <c r="E290" s="260">
        <f>[1]預算內選單資料來源!E290</f>
        <v/>
      </c>
      <c r="F290" s="260">
        <f>[1]預算內選單資料來源!F290</f>
        <v/>
      </c>
      <c r="G290" s="260">
        <f>[1]預算內選單資料來源!G290</f>
        <v/>
      </c>
      <c r="H290" s="260">
        <f>[1]預算內選單資料來源!H290</f>
        <v/>
      </c>
      <c r="I290" s="260">
        <f>[1]預算內選單資料來源!I290</f>
        <v/>
      </c>
      <c r="J290" s="260">
        <f>[1]預算內選單資料來源!J290</f>
        <v/>
      </c>
      <c r="K290" s="260">
        <f>[1]預算內選單資料來源!K290</f>
        <v/>
      </c>
      <c r="L290" s="260">
        <f>[1]預算內選單資料來源!L290</f>
        <v/>
      </c>
    </row>
    <row r="291" ht="16.5" customHeight="1" s="124">
      <c r="A291" s="123">
        <f>[1]預算內選單資料來源!A291</f>
        <v/>
      </c>
      <c r="B291" s="260">
        <f>[1]預算內選單資料來源!B291</f>
        <v/>
      </c>
      <c r="C291" s="260">
        <f>[1]預算內選單資料來源!C291</f>
        <v/>
      </c>
      <c r="D291" s="260">
        <f>[1]預算內選單資料來源!D291</f>
        <v/>
      </c>
      <c r="E291" s="260">
        <f>[1]預算內選單資料來源!E291</f>
        <v/>
      </c>
      <c r="F291" s="260">
        <f>[1]預算內選單資料來源!F291</f>
        <v/>
      </c>
      <c r="G291" s="260">
        <f>[1]預算內選單資料來源!G291</f>
        <v/>
      </c>
      <c r="H291" s="260">
        <f>[1]預算內選單資料來源!H291</f>
        <v/>
      </c>
      <c r="I291" s="260">
        <f>[1]預算內選單資料來源!I291</f>
        <v/>
      </c>
      <c r="J291" s="260">
        <f>[1]預算內選單資料來源!J291</f>
        <v/>
      </c>
      <c r="K291" s="260">
        <f>[1]預算內選單資料來源!K291</f>
        <v/>
      </c>
      <c r="L291" s="260">
        <f>[1]預算內選單資料來源!L291</f>
        <v/>
      </c>
    </row>
    <row r="292" ht="16.5" customHeight="1" s="124">
      <c r="A292" s="123">
        <f>[1]預算內選單資料來源!A292</f>
        <v/>
      </c>
      <c r="B292" s="260">
        <f>[1]預算內選單資料來源!B292</f>
        <v/>
      </c>
      <c r="C292" s="260">
        <f>[1]預算內選單資料來源!C292</f>
        <v/>
      </c>
      <c r="D292" s="260">
        <f>[1]預算內選單資料來源!D292</f>
        <v/>
      </c>
      <c r="E292" s="260">
        <f>[1]預算內選單資料來源!E292</f>
        <v/>
      </c>
      <c r="F292" s="260">
        <f>[1]預算內選單資料來源!F292</f>
        <v/>
      </c>
      <c r="G292" s="260">
        <f>[1]預算內選單資料來源!G292</f>
        <v/>
      </c>
      <c r="H292" s="260">
        <f>[1]預算內選單資料來源!H292</f>
        <v/>
      </c>
      <c r="I292" s="260">
        <f>[1]預算內選單資料來源!I292</f>
        <v/>
      </c>
      <c r="J292" s="260">
        <f>[1]預算內選單資料來源!J292</f>
        <v/>
      </c>
      <c r="K292" s="260">
        <f>[1]預算內選單資料來源!K292</f>
        <v/>
      </c>
      <c r="L292" s="260">
        <f>[1]預算內選單資料來源!L292</f>
        <v/>
      </c>
    </row>
    <row r="293" ht="16.5" customHeight="1" s="124">
      <c r="A293" s="123">
        <f>[1]預算內選單資料來源!A293</f>
        <v/>
      </c>
      <c r="B293" s="260">
        <f>[1]預算內選單資料來源!B293</f>
        <v/>
      </c>
      <c r="C293" s="260">
        <f>[1]預算內選單資料來源!C293</f>
        <v/>
      </c>
      <c r="D293" s="260">
        <f>[1]預算內選單資料來源!D293</f>
        <v/>
      </c>
      <c r="E293" s="260">
        <f>[1]預算內選單資料來源!E293</f>
        <v/>
      </c>
      <c r="F293" s="260">
        <f>[1]預算內選單資料來源!F293</f>
        <v/>
      </c>
      <c r="G293" s="260">
        <f>[1]預算內選單資料來源!G293</f>
        <v/>
      </c>
      <c r="H293" s="260">
        <f>[1]預算內選單資料來源!H293</f>
        <v/>
      </c>
      <c r="I293" s="260">
        <f>[1]預算內選單資料來源!I293</f>
        <v/>
      </c>
      <c r="J293" s="260">
        <f>[1]預算內選單資料來源!J293</f>
        <v/>
      </c>
      <c r="K293" s="260">
        <f>[1]預算內選單資料來源!K293</f>
        <v/>
      </c>
      <c r="L293" s="260">
        <f>[1]預算內選單資料來源!L293</f>
        <v/>
      </c>
    </row>
    <row r="294" ht="16.5" customHeight="1" s="124">
      <c r="A294" s="123">
        <f>[1]預算內選單資料來源!A294</f>
        <v/>
      </c>
      <c r="B294" s="260">
        <f>[1]預算內選單資料來源!B294</f>
        <v/>
      </c>
      <c r="C294" s="260">
        <f>[1]預算內選單資料來源!C294</f>
        <v/>
      </c>
      <c r="D294" s="260">
        <f>[1]預算內選單資料來源!D294</f>
        <v/>
      </c>
      <c r="E294" s="260">
        <f>[1]預算內選單資料來源!E294</f>
        <v/>
      </c>
      <c r="F294" s="260">
        <f>[1]預算內選單資料來源!F294</f>
        <v/>
      </c>
      <c r="G294" s="260">
        <f>[1]預算內選單資料來源!G294</f>
        <v/>
      </c>
      <c r="H294" s="260">
        <f>[1]預算內選單資料來源!H294</f>
        <v/>
      </c>
      <c r="I294" s="260">
        <f>[1]預算內選單資料來源!I294</f>
        <v/>
      </c>
      <c r="J294" s="260">
        <f>[1]預算內選單資料來源!J294</f>
        <v/>
      </c>
      <c r="K294" s="260">
        <f>[1]預算內選單資料來源!K294</f>
        <v/>
      </c>
      <c r="L294" s="260">
        <f>[1]預算內選單資料來源!L294</f>
        <v/>
      </c>
    </row>
    <row r="295" ht="16.5" customHeight="1" s="124">
      <c r="A295" s="123">
        <f>[1]預算內選單資料來源!A295</f>
        <v/>
      </c>
      <c r="B295" s="260">
        <f>[1]預算內選單資料來源!B295</f>
        <v/>
      </c>
      <c r="C295" s="260">
        <f>[1]預算內選單資料來源!C295</f>
        <v/>
      </c>
      <c r="D295" s="260">
        <f>[1]預算內選單資料來源!D295</f>
        <v/>
      </c>
      <c r="E295" s="260">
        <f>[1]預算內選單資料來源!E295</f>
        <v/>
      </c>
      <c r="F295" s="260">
        <f>[1]預算內選單資料來源!F295</f>
        <v/>
      </c>
      <c r="G295" s="260">
        <f>[1]預算內選單資料來源!G295</f>
        <v/>
      </c>
      <c r="H295" s="260">
        <f>[1]預算內選單資料來源!H295</f>
        <v/>
      </c>
      <c r="I295" s="260">
        <f>[1]預算內選單資料來源!I295</f>
        <v/>
      </c>
      <c r="J295" s="260">
        <f>[1]預算內選單資料來源!J295</f>
        <v/>
      </c>
      <c r="K295" s="260">
        <f>[1]預算內選單資料來源!K295</f>
        <v/>
      </c>
      <c r="L295" s="260">
        <f>[1]預算內選單資料來源!L295</f>
        <v/>
      </c>
    </row>
    <row r="296" ht="16.5" customHeight="1" s="124">
      <c r="A296" s="123">
        <f>[1]預算內選單資料來源!A296</f>
        <v/>
      </c>
      <c r="B296" s="260">
        <f>[1]預算內選單資料來源!B296</f>
        <v/>
      </c>
      <c r="C296" s="260">
        <f>[1]預算內選單資料來源!C296</f>
        <v/>
      </c>
      <c r="D296" s="260">
        <f>[1]預算內選單資料來源!D296</f>
        <v/>
      </c>
      <c r="E296" s="260">
        <f>[1]預算內選單資料來源!E296</f>
        <v/>
      </c>
      <c r="F296" s="260">
        <f>[1]預算內選單資料來源!F296</f>
        <v/>
      </c>
      <c r="G296" s="260">
        <f>[1]預算內選單資料來源!G296</f>
        <v/>
      </c>
      <c r="H296" s="260">
        <f>[1]預算內選單資料來源!H296</f>
        <v/>
      </c>
      <c r="I296" s="260">
        <f>[1]預算內選單資料來源!I296</f>
        <v/>
      </c>
      <c r="J296" s="260">
        <f>[1]預算內選單資料來源!J296</f>
        <v/>
      </c>
      <c r="K296" s="260">
        <f>[1]預算內選單資料來源!K296</f>
        <v/>
      </c>
      <c r="L296" s="260">
        <f>[1]預算內選單資料來源!L296</f>
        <v/>
      </c>
    </row>
    <row r="297" ht="16.5" customHeight="1" s="124">
      <c r="A297" s="123">
        <f>[1]預算內選單資料來源!A297</f>
        <v/>
      </c>
      <c r="B297" s="260">
        <f>[1]預算內選單資料來源!B297</f>
        <v/>
      </c>
      <c r="C297" s="260">
        <f>[1]預算內選單資料來源!C297</f>
        <v/>
      </c>
      <c r="D297" s="260">
        <f>[1]預算內選單資料來源!D297</f>
        <v/>
      </c>
      <c r="E297" s="260">
        <f>[1]預算內選單資料來源!E297</f>
        <v/>
      </c>
      <c r="F297" s="260">
        <f>[1]預算內選單資料來源!F297</f>
        <v/>
      </c>
      <c r="G297" s="260">
        <f>[1]預算內選單資料來源!G297</f>
        <v/>
      </c>
      <c r="H297" s="260">
        <f>[1]預算內選單資料來源!H297</f>
        <v/>
      </c>
      <c r="I297" s="260">
        <f>[1]預算內選單資料來源!I297</f>
        <v/>
      </c>
      <c r="J297" s="260">
        <f>[1]預算內選單資料來源!J297</f>
        <v/>
      </c>
      <c r="K297" s="260">
        <f>[1]預算內選單資料來源!K297</f>
        <v/>
      </c>
      <c r="L297" s="260">
        <f>[1]預算內選單資料來源!L297</f>
        <v/>
      </c>
    </row>
    <row r="298" ht="16.5" customHeight="1" s="124">
      <c r="A298" s="123">
        <f>[1]預算內選單資料來源!A298</f>
        <v/>
      </c>
      <c r="B298" s="260">
        <f>[1]預算內選單資料來源!B298</f>
        <v/>
      </c>
      <c r="C298" s="260">
        <f>[1]預算內選單資料來源!C298</f>
        <v/>
      </c>
      <c r="D298" s="260">
        <f>[1]預算內選單資料來源!D298</f>
        <v/>
      </c>
      <c r="E298" s="260">
        <f>[1]預算內選單資料來源!E298</f>
        <v/>
      </c>
      <c r="F298" s="260">
        <f>[1]預算內選單資料來源!F298</f>
        <v/>
      </c>
      <c r="G298" s="260">
        <f>[1]預算內選單資料來源!G298</f>
        <v/>
      </c>
      <c r="H298" s="260">
        <f>[1]預算內選單資料來源!H298</f>
        <v/>
      </c>
      <c r="I298" s="260">
        <f>[1]預算內選單資料來源!I298</f>
        <v/>
      </c>
      <c r="J298" s="260">
        <f>[1]預算內選單資料來源!J298</f>
        <v/>
      </c>
      <c r="K298" s="260">
        <f>[1]預算內選單資料來源!K298</f>
        <v/>
      </c>
      <c r="L298" s="260">
        <f>[1]預算內選單資料來源!L298</f>
        <v/>
      </c>
    </row>
    <row r="299" ht="16.5" customHeight="1" s="124">
      <c r="A299" s="123">
        <f>[1]預算內選單資料來源!A299</f>
        <v/>
      </c>
      <c r="B299" s="260">
        <f>[1]預算內選單資料來源!B299</f>
        <v/>
      </c>
      <c r="C299" s="260">
        <f>[1]預算內選單資料來源!C299</f>
        <v/>
      </c>
      <c r="D299" s="260">
        <f>[1]預算內選單資料來源!D299</f>
        <v/>
      </c>
      <c r="E299" s="260">
        <f>[1]預算內選單資料來源!E299</f>
        <v/>
      </c>
      <c r="F299" s="260">
        <f>[1]預算內選單資料來源!F299</f>
        <v/>
      </c>
      <c r="G299" s="260">
        <f>[1]預算內選單資料來源!G299</f>
        <v/>
      </c>
      <c r="H299" s="260">
        <f>[1]預算內選單資料來源!H299</f>
        <v/>
      </c>
      <c r="I299" s="260">
        <f>[1]預算內選單資料來源!I299</f>
        <v/>
      </c>
      <c r="J299" s="260">
        <f>[1]預算內選單資料來源!J299</f>
        <v/>
      </c>
      <c r="K299" s="260">
        <f>[1]預算內選單資料來源!K299</f>
        <v/>
      </c>
      <c r="L299" s="260">
        <f>[1]預算內選單資料來源!L299</f>
        <v/>
      </c>
    </row>
    <row r="300" ht="16.5" customHeight="1" s="124">
      <c r="A300" s="123">
        <f>[1]預算內選單資料來源!A300</f>
        <v/>
      </c>
      <c r="B300" s="260">
        <f>[1]預算內選單資料來源!B300</f>
        <v/>
      </c>
      <c r="C300" s="260">
        <f>[1]預算內選單資料來源!C300</f>
        <v/>
      </c>
      <c r="D300" s="260">
        <f>[1]預算內選單資料來源!D300</f>
        <v/>
      </c>
      <c r="E300" s="260">
        <f>[1]預算內選單資料來源!E300</f>
        <v/>
      </c>
      <c r="F300" s="260">
        <f>[1]預算內選單資料來源!F300</f>
        <v/>
      </c>
      <c r="G300" s="260">
        <f>[1]預算內選單資料來源!G300</f>
        <v/>
      </c>
      <c r="H300" s="260">
        <f>[1]預算內選單資料來源!H300</f>
        <v/>
      </c>
      <c r="I300" s="260">
        <f>[1]預算內選單資料來源!I300</f>
        <v/>
      </c>
      <c r="J300" s="260">
        <f>[1]預算內選單資料來源!J300</f>
        <v/>
      </c>
      <c r="K300" s="260">
        <f>[1]預算內選單資料來源!K300</f>
        <v/>
      </c>
      <c r="L300" s="260">
        <f>[1]預算內選單資料來源!L300</f>
        <v/>
      </c>
    </row>
    <row r="301" ht="16.5" customHeight="1" s="124">
      <c r="A301" s="123">
        <f>[1]預算內選單資料來源!A301</f>
        <v/>
      </c>
      <c r="B301" s="260">
        <f>[1]預算內選單資料來源!B301</f>
        <v/>
      </c>
      <c r="C301" s="260">
        <f>[1]預算內選單資料來源!C301</f>
        <v/>
      </c>
      <c r="D301" s="260">
        <f>[1]預算內選單資料來源!D301</f>
        <v/>
      </c>
      <c r="E301" s="260">
        <f>[1]預算內選單資料來源!E301</f>
        <v/>
      </c>
      <c r="F301" s="260">
        <f>[1]預算內選單資料來源!F301</f>
        <v/>
      </c>
      <c r="G301" s="260">
        <f>[1]預算內選單資料來源!G301</f>
        <v/>
      </c>
      <c r="H301" s="260">
        <f>[1]預算內選單資料來源!H301</f>
        <v/>
      </c>
      <c r="I301" s="260">
        <f>[1]預算內選單資料來源!I301</f>
        <v/>
      </c>
      <c r="J301" s="260">
        <f>[1]預算內選單資料來源!J301</f>
        <v/>
      </c>
      <c r="K301" s="260">
        <f>[1]預算內選單資料來源!K301</f>
        <v/>
      </c>
      <c r="L301" s="260">
        <f>[1]預算內選單資料來源!L301</f>
        <v/>
      </c>
    </row>
    <row r="302" ht="16.5" customHeight="1" s="124">
      <c r="A302" s="123">
        <f>[1]預算內選單資料來源!A302</f>
        <v/>
      </c>
      <c r="B302" s="260">
        <f>[1]預算內選單資料來源!B302</f>
        <v/>
      </c>
      <c r="C302" s="260">
        <f>[1]預算內選單資料來源!C302</f>
        <v/>
      </c>
      <c r="D302" s="260">
        <f>[1]預算內選單資料來源!D302</f>
        <v/>
      </c>
      <c r="E302" s="260">
        <f>[1]預算內選單資料來源!E302</f>
        <v/>
      </c>
      <c r="F302" s="260">
        <f>[1]預算內選單資料來源!F302</f>
        <v/>
      </c>
      <c r="G302" s="260">
        <f>[1]預算內選單資料來源!G302</f>
        <v/>
      </c>
      <c r="H302" s="260">
        <f>[1]預算內選單資料來源!H302</f>
        <v/>
      </c>
      <c r="I302" s="260">
        <f>[1]預算內選單資料來源!I302</f>
        <v/>
      </c>
      <c r="J302" s="260">
        <f>[1]預算內選單資料來源!J302</f>
        <v/>
      </c>
      <c r="K302" s="260">
        <f>[1]預算內選單資料來源!K302</f>
        <v/>
      </c>
      <c r="L302" s="260">
        <f>[1]預算內選單資料來源!L302</f>
        <v/>
      </c>
    </row>
    <row r="303" ht="16.5" customHeight="1" s="124">
      <c r="A303" s="123">
        <f>[1]預算內選單資料來源!A303</f>
        <v/>
      </c>
      <c r="B303" s="260">
        <f>[1]預算內選單資料來源!B303</f>
        <v/>
      </c>
      <c r="C303" s="260">
        <f>[1]預算內選單資料來源!C303</f>
        <v/>
      </c>
      <c r="D303" s="260">
        <f>[1]預算內選單資料來源!D303</f>
        <v/>
      </c>
      <c r="E303" s="260">
        <f>[1]預算內選單資料來源!E303</f>
        <v/>
      </c>
      <c r="F303" s="260">
        <f>[1]預算內選單資料來源!F303</f>
        <v/>
      </c>
      <c r="G303" s="260">
        <f>[1]預算內選單資料來源!G303</f>
        <v/>
      </c>
      <c r="H303" s="260">
        <f>[1]預算內選單資料來源!H303</f>
        <v/>
      </c>
      <c r="I303" s="260">
        <f>[1]預算內選單資料來源!I303</f>
        <v/>
      </c>
      <c r="J303" s="260">
        <f>[1]預算內選單資料來源!J303</f>
        <v/>
      </c>
      <c r="K303" s="260">
        <f>[1]預算內選單資料來源!K303</f>
        <v/>
      </c>
      <c r="L303" s="260">
        <f>[1]預算內選單資料來源!L303</f>
        <v/>
      </c>
    </row>
    <row r="304" ht="16.5" customHeight="1" s="124">
      <c r="A304" s="123">
        <f>[1]預算內選單資料來源!A304</f>
        <v/>
      </c>
      <c r="B304" s="260">
        <f>[1]預算內選單資料來源!B304</f>
        <v/>
      </c>
      <c r="C304" s="260">
        <f>[1]預算內選單資料來源!C304</f>
        <v/>
      </c>
      <c r="D304" s="260">
        <f>[1]預算內選單資料來源!D304</f>
        <v/>
      </c>
      <c r="E304" s="260">
        <f>[1]預算內選單資料來源!E304</f>
        <v/>
      </c>
      <c r="F304" s="260">
        <f>[1]預算內選單資料來源!F304</f>
        <v/>
      </c>
      <c r="G304" s="260">
        <f>[1]預算內選單資料來源!G304</f>
        <v/>
      </c>
      <c r="H304" s="260">
        <f>[1]預算內選單資料來源!H304</f>
        <v/>
      </c>
      <c r="I304" s="260">
        <f>[1]預算內選單資料來源!I304</f>
        <v/>
      </c>
      <c r="J304" s="260">
        <f>[1]預算內選單資料來源!J304</f>
        <v/>
      </c>
      <c r="K304" s="260">
        <f>[1]預算內選單資料來源!K304</f>
        <v/>
      </c>
      <c r="L304" s="260">
        <f>[1]預算內選單資料來源!L304</f>
        <v/>
      </c>
    </row>
    <row r="305" ht="16.5" customHeight="1" s="124">
      <c r="A305" s="123">
        <f>[1]預算內選單資料來源!A305</f>
        <v/>
      </c>
      <c r="B305" s="260">
        <f>[1]預算內選單資料來源!B305</f>
        <v/>
      </c>
      <c r="C305" s="260">
        <f>[1]預算內選單資料來源!C305</f>
        <v/>
      </c>
      <c r="D305" s="260">
        <f>[1]預算內選單資料來源!D305</f>
        <v/>
      </c>
      <c r="E305" s="260">
        <f>[1]預算內選單資料來源!E305</f>
        <v/>
      </c>
      <c r="F305" s="260">
        <f>[1]預算內選單資料來源!F305</f>
        <v/>
      </c>
      <c r="G305" s="260">
        <f>[1]預算內選單資料來源!G305</f>
        <v/>
      </c>
      <c r="H305" s="260">
        <f>[1]預算內選單資料來源!H305</f>
        <v/>
      </c>
      <c r="I305" s="260">
        <f>[1]預算內選單資料來源!I305</f>
        <v/>
      </c>
      <c r="J305" s="260">
        <f>[1]預算內選單資料來源!J305</f>
        <v/>
      </c>
      <c r="K305" s="260">
        <f>[1]預算內選單資料來源!K305</f>
        <v/>
      </c>
      <c r="L305" s="260">
        <f>[1]預算內選單資料來源!L305</f>
        <v/>
      </c>
    </row>
    <row r="306" ht="16.5" customHeight="1" s="124">
      <c r="A306" s="123">
        <f>[1]預算內選單資料來源!A306</f>
        <v/>
      </c>
      <c r="B306" s="260">
        <f>[1]預算內選單資料來源!B306</f>
        <v/>
      </c>
      <c r="C306" s="260">
        <f>[1]預算內選單資料來源!C306</f>
        <v/>
      </c>
      <c r="D306" s="260">
        <f>[1]預算內選單資料來源!D306</f>
        <v/>
      </c>
      <c r="E306" s="260">
        <f>[1]預算內選單資料來源!E306</f>
        <v/>
      </c>
      <c r="F306" s="260">
        <f>[1]預算內選單資料來源!F306</f>
        <v/>
      </c>
      <c r="G306" s="260">
        <f>[1]預算內選單資料來源!G306</f>
        <v/>
      </c>
      <c r="H306" s="260">
        <f>[1]預算內選單資料來源!H306</f>
        <v/>
      </c>
      <c r="I306" s="260">
        <f>[1]預算內選單資料來源!I306</f>
        <v/>
      </c>
      <c r="J306" s="260">
        <f>[1]預算內選單資料來源!J306</f>
        <v/>
      </c>
      <c r="K306" s="260">
        <f>[1]預算內選單資料來源!K306</f>
        <v/>
      </c>
      <c r="L306" s="260">
        <f>[1]預算內選單資料來源!L306</f>
        <v/>
      </c>
    </row>
    <row r="307" ht="16.5" customHeight="1" s="124">
      <c r="A307" s="123">
        <f>[1]預算內選單資料來源!A307</f>
        <v/>
      </c>
      <c r="B307" s="260">
        <f>[1]預算內選單資料來源!B307</f>
        <v/>
      </c>
      <c r="C307" s="260">
        <f>[1]預算內選單資料來源!C307</f>
        <v/>
      </c>
      <c r="D307" s="260">
        <f>[1]預算內選單資料來源!D307</f>
        <v/>
      </c>
      <c r="E307" s="260">
        <f>[1]預算內選單資料來源!E307</f>
        <v/>
      </c>
      <c r="F307" s="260">
        <f>[1]預算內選單資料來源!F307</f>
        <v/>
      </c>
      <c r="G307" s="260">
        <f>[1]預算內選單資料來源!G307</f>
        <v/>
      </c>
      <c r="H307" s="260">
        <f>[1]預算內選單資料來源!H307</f>
        <v/>
      </c>
      <c r="I307" s="260">
        <f>[1]預算內選單資料來源!I307</f>
        <v/>
      </c>
      <c r="J307" s="260">
        <f>[1]預算內選單資料來源!J307</f>
        <v/>
      </c>
      <c r="K307" s="260">
        <f>[1]預算內選單資料來源!K307</f>
        <v/>
      </c>
      <c r="L307" s="260">
        <f>[1]預算內選單資料來源!L307</f>
        <v/>
      </c>
    </row>
    <row r="308" ht="16.5" customHeight="1" s="124">
      <c r="A308" s="123">
        <f>[1]預算內選單資料來源!A308</f>
        <v/>
      </c>
      <c r="B308" s="260">
        <f>[1]預算內選單資料來源!B308</f>
        <v/>
      </c>
      <c r="C308" s="260">
        <f>[1]預算內選單資料來源!C308</f>
        <v/>
      </c>
      <c r="D308" s="260">
        <f>[1]預算內選單資料來源!D308</f>
        <v/>
      </c>
      <c r="E308" s="260">
        <f>[1]預算內選單資料來源!E308</f>
        <v/>
      </c>
      <c r="F308" s="260">
        <f>[1]預算內選單資料來源!F308</f>
        <v/>
      </c>
      <c r="G308" s="260">
        <f>[1]預算內選單資料來源!G308</f>
        <v/>
      </c>
      <c r="H308" s="260">
        <f>[1]預算內選單資料來源!H308</f>
        <v/>
      </c>
      <c r="I308" s="260">
        <f>[1]預算內選單資料來源!I308</f>
        <v/>
      </c>
      <c r="J308" s="260">
        <f>[1]預算內選單資料來源!J308</f>
        <v/>
      </c>
      <c r="K308" s="260">
        <f>[1]預算內選單資料來源!K308</f>
        <v/>
      </c>
      <c r="L308" s="260">
        <f>[1]預算內選單資料來源!L308</f>
        <v/>
      </c>
    </row>
    <row r="309" ht="16.5" customHeight="1" s="124">
      <c r="A309" s="123">
        <f>[1]預算內選單資料來源!A309</f>
        <v/>
      </c>
      <c r="B309" s="260">
        <f>[1]預算內選單資料來源!B309</f>
        <v/>
      </c>
      <c r="C309" s="260">
        <f>[1]預算內選單資料來源!C309</f>
        <v/>
      </c>
      <c r="D309" s="260">
        <f>[1]預算內選單資料來源!D309</f>
        <v/>
      </c>
      <c r="E309" s="260">
        <f>[1]預算內選單資料來源!E309</f>
        <v/>
      </c>
      <c r="F309" s="260">
        <f>[1]預算內選單資料來源!F309</f>
        <v/>
      </c>
      <c r="G309" s="260">
        <f>[1]預算內選單資料來源!G309</f>
        <v/>
      </c>
      <c r="H309" s="260">
        <f>[1]預算內選單資料來源!H309</f>
        <v/>
      </c>
      <c r="I309" s="260">
        <f>[1]預算內選單資料來源!I309</f>
        <v/>
      </c>
      <c r="J309" s="260">
        <f>[1]預算內選單資料來源!J309</f>
        <v/>
      </c>
      <c r="K309" s="260">
        <f>[1]預算內選單資料來源!K309</f>
        <v/>
      </c>
      <c r="L309" s="260">
        <f>[1]預算內選單資料來源!L309</f>
        <v/>
      </c>
    </row>
    <row r="310" ht="16.5" customHeight="1" s="124">
      <c r="A310" s="123">
        <f>[1]預算內選單資料來源!A310</f>
        <v/>
      </c>
      <c r="B310" s="260">
        <f>[1]預算內選單資料來源!B310</f>
        <v/>
      </c>
      <c r="C310" s="260">
        <f>[1]預算內選單資料來源!C310</f>
        <v/>
      </c>
      <c r="D310" s="260">
        <f>[1]預算內選單資料來源!D310</f>
        <v/>
      </c>
      <c r="E310" s="260">
        <f>[1]預算內選單資料來源!E310</f>
        <v/>
      </c>
      <c r="F310" s="260">
        <f>[1]預算內選單資料來源!F310</f>
        <v/>
      </c>
      <c r="G310" s="260">
        <f>[1]預算內選單資料來源!G310</f>
        <v/>
      </c>
      <c r="H310" s="260">
        <f>[1]預算內選單資料來源!H310</f>
        <v/>
      </c>
      <c r="I310" s="260">
        <f>[1]預算內選單資料來源!I310</f>
        <v/>
      </c>
      <c r="J310" s="260">
        <f>[1]預算內選單資料來源!J310</f>
        <v/>
      </c>
      <c r="K310" s="260">
        <f>[1]預算內選單資料來源!K310</f>
        <v/>
      </c>
      <c r="L310" s="260">
        <f>[1]預算內選單資料來源!L310</f>
        <v/>
      </c>
    </row>
    <row r="311" ht="16.5" customHeight="1" s="124">
      <c r="A311" s="123">
        <f>[1]預算內選單資料來源!A311</f>
        <v/>
      </c>
      <c r="B311" s="260">
        <f>[1]預算內選單資料來源!B311</f>
        <v/>
      </c>
      <c r="C311" s="260">
        <f>[1]預算內選單資料來源!C311</f>
        <v/>
      </c>
      <c r="D311" s="260">
        <f>[1]預算內選單資料來源!D311</f>
        <v/>
      </c>
      <c r="E311" s="260">
        <f>[1]預算內選單資料來源!E311</f>
        <v/>
      </c>
      <c r="F311" s="260">
        <f>[1]預算內選單資料來源!F311</f>
        <v/>
      </c>
      <c r="G311" s="260">
        <f>[1]預算內選單資料來源!G311</f>
        <v/>
      </c>
      <c r="H311" s="260">
        <f>[1]預算內選單資料來源!H311</f>
        <v/>
      </c>
      <c r="I311" s="260">
        <f>[1]預算內選單資料來源!I311</f>
        <v/>
      </c>
      <c r="J311" s="260">
        <f>[1]預算內選單資料來源!J311</f>
        <v/>
      </c>
      <c r="K311" s="260">
        <f>[1]預算內選單資料來源!K311</f>
        <v/>
      </c>
      <c r="L311" s="260">
        <f>[1]預算內選單資料來源!L311</f>
        <v/>
      </c>
    </row>
    <row r="312" ht="16.5" customHeight="1" s="124">
      <c r="A312" s="123">
        <f>[1]預算內選單資料來源!A312</f>
        <v/>
      </c>
      <c r="B312" s="260">
        <f>[1]預算內選單資料來源!B312</f>
        <v/>
      </c>
      <c r="C312" s="260">
        <f>[1]預算內選單資料來源!C312</f>
        <v/>
      </c>
      <c r="D312" s="260">
        <f>[1]預算內選單資料來源!D312</f>
        <v/>
      </c>
      <c r="E312" s="260">
        <f>[1]預算內選單資料來源!E312</f>
        <v/>
      </c>
      <c r="F312" s="260">
        <f>[1]預算內選單資料來源!F312</f>
        <v/>
      </c>
      <c r="G312" s="260">
        <f>[1]預算內選單資料來源!G312</f>
        <v/>
      </c>
      <c r="H312" s="260">
        <f>[1]預算內選單資料來源!H312</f>
        <v/>
      </c>
      <c r="I312" s="260">
        <f>[1]預算內選單資料來源!I312</f>
        <v/>
      </c>
      <c r="J312" s="260">
        <f>[1]預算內選單資料來源!J312</f>
        <v/>
      </c>
      <c r="K312" s="260">
        <f>[1]預算內選單資料來源!K312</f>
        <v/>
      </c>
      <c r="L312" s="260">
        <f>[1]預算內選單資料來源!L312</f>
        <v/>
      </c>
    </row>
    <row r="313" ht="16.5" customHeight="1" s="124">
      <c r="A313" s="123">
        <f>[1]預算內選單資料來源!A313</f>
        <v/>
      </c>
      <c r="B313" s="260">
        <f>[1]預算內選單資料來源!B313</f>
        <v/>
      </c>
      <c r="C313" s="260">
        <f>[1]預算內選單資料來源!C313</f>
        <v/>
      </c>
      <c r="D313" s="260">
        <f>[1]預算內選單資料來源!D313</f>
        <v/>
      </c>
      <c r="E313" s="260">
        <f>[1]預算內選單資料來源!E313</f>
        <v/>
      </c>
      <c r="F313" s="260">
        <f>[1]預算內選單資料來源!F313</f>
        <v/>
      </c>
      <c r="G313" s="260">
        <f>[1]預算內選單資料來源!G313</f>
        <v/>
      </c>
      <c r="H313" s="260">
        <f>[1]預算內選單資料來源!H313</f>
        <v/>
      </c>
      <c r="I313" s="260">
        <f>[1]預算內選單資料來源!I313</f>
        <v/>
      </c>
      <c r="J313" s="260">
        <f>[1]預算內選單資料來源!J313</f>
        <v/>
      </c>
      <c r="K313" s="260">
        <f>[1]預算內選單資料來源!K313</f>
        <v/>
      </c>
      <c r="L313" s="260">
        <f>[1]預算內選單資料來源!L313</f>
        <v/>
      </c>
    </row>
    <row r="314" ht="16.5" customHeight="1" s="124">
      <c r="A314" s="123">
        <f>[1]預算內選單資料來源!A314</f>
        <v/>
      </c>
      <c r="B314" s="260">
        <f>[1]預算內選單資料來源!B314</f>
        <v/>
      </c>
      <c r="C314" s="260">
        <f>[1]預算內選單資料來源!C314</f>
        <v/>
      </c>
      <c r="D314" s="260">
        <f>[1]預算內選單資料來源!D314</f>
        <v/>
      </c>
      <c r="E314" s="260">
        <f>[1]預算內選單資料來源!E314</f>
        <v/>
      </c>
      <c r="F314" s="260">
        <f>[1]預算內選單資料來源!F314</f>
        <v/>
      </c>
      <c r="G314" s="260">
        <f>[1]預算內選單資料來源!G314</f>
        <v/>
      </c>
      <c r="H314" s="260">
        <f>[1]預算內選單資料來源!H314</f>
        <v/>
      </c>
      <c r="I314" s="260">
        <f>[1]預算內選單資料來源!I314</f>
        <v/>
      </c>
      <c r="J314" s="260">
        <f>[1]預算內選單資料來源!J314</f>
        <v/>
      </c>
      <c r="K314" s="260">
        <f>[1]預算內選單資料來源!K314</f>
        <v/>
      </c>
      <c r="L314" s="260">
        <f>[1]預算內選單資料來源!L314</f>
        <v/>
      </c>
    </row>
    <row r="315" ht="16.5" customHeight="1" s="124">
      <c r="A315" s="123">
        <f>[1]預算內選單資料來源!A315</f>
        <v/>
      </c>
      <c r="B315" s="260">
        <f>[1]預算內選單資料來源!B315</f>
        <v/>
      </c>
      <c r="C315" s="260">
        <f>[1]預算內選單資料來源!C315</f>
        <v/>
      </c>
      <c r="D315" s="260">
        <f>[1]預算內選單資料來源!D315</f>
        <v/>
      </c>
      <c r="E315" s="260">
        <f>[1]預算內選單資料來源!E315</f>
        <v/>
      </c>
      <c r="F315" s="260">
        <f>[1]預算內選單資料來源!F315</f>
        <v/>
      </c>
      <c r="G315" s="260">
        <f>[1]預算內選單資料來源!G315</f>
        <v/>
      </c>
      <c r="H315" s="260">
        <f>[1]預算內選單資料來源!H315</f>
        <v/>
      </c>
      <c r="I315" s="260">
        <f>[1]預算內選單資料來源!I315</f>
        <v/>
      </c>
      <c r="J315" s="260">
        <f>[1]預算內選單資料來源!J315</f>
        <v/>
      </c>
      <c r="K315" s="260">
        <f>[1]預算內選單資料來源!K315</f>
        <v/>
      </c>
      <c r="L315" s="260">
        <f>[1]預算內選單資料來源!L315</f>
        <v/>
      </c>
    </row>
    <row r="316" ht="16.5" customHeight="1" s="124">
      <c r="A316" s="123">
        <f>[1]預算內選單資料來源!A316</f>
        <v/>
      </c>
      <c r="B316" s="260">
        <f>[1]預算內選單資料來源!B316</f>
        <v/>
      </c>
      <c r="C316" s="260">
        <f>[1]預算內選單資料來源!C316</f>
        <v/>
      </c>
      <c r="D316" s="260">
        <f>[1]預算內選單資料來源!D316</f>
        <v/>
      </c>
      <c r="E316" s="260">
        <f>[1]預算內選單資料來源!E316</f>
        <v/>
      </c>
      <c r="F316" s="260">
        <f>[1]預算內選單資料來源!F316</f>
        <v/>
      </c>
      <c r="G316" s="260">
        <f>[1]預算內選單資料來源!G316</f>
        <v/>
      </c>
      <c r="H316" s="260">
        <f>[1]預算內選單資料來源!H316</f>
        <v/>
      </c>
      <c r="I316" s="260">
        <f>[1]預算內選單資料來源!I316</f>
        <v/>
      </c>
      <c r="J316" s="260">
        <f>[1]預算內選單資料來源!J316</f>
        <v/>
      </c>
      <c r="K316" s="260">
        <f>[1]預算內選單資料來源!K316</f>
        <v/>
      </c>
      <c r="L316" s="260">
        <f>[1]預算內選單資料來源!L316</f>
        <v/>
      </c>
    </row>
    <row r="317" ht="16.5" customHeight="1" s="124">
      <c r="A317" s="123">
        <f>[1]預算內選單資料來源!A317</f>
        <v/>
      </c>
      <c r="B317" s="260">
        <f>[1]預算內選單資料來源!B317</f>
        <v/>
      </c>
      <c r="C317" s="260">
        <f>[1]預算內選單資料來源!C317</f>
        <v/>
      </c>
      <c r="D317" s="260">
        <f>[1]預算內選單資料來源!D317</f>
        <v/>
      </c>
      <c r="E317" s="260">
        <f>[1]預算內選單資料來源!E317</f>
        <v/>
      </c>
      <c r="F317" s="260">
        <f>[1]預算內選單資料來源!F317</f>
        <v/>
      </c>
      <c r="G317" s="260">
        <f>[1]預算內選單資料來源!G317</f>
        <v/>
      </c>
      <c r="H317" s="260">
        <f>[1]預算內選單資料來源!H317</f>
        <v/>
      </c>
      <c r="I317" s="260">
        <f>[1]預算內選單資料來源!I317</f>
        <v/>
      </c>
      <c r="J317" s="260">
        <f>[1]預算內選單資料來源!J317</f>
        <v/>
      </c>
      <c r="K317" s="260">
        <f>[1]預算內選單資料來源!K317</f>
        <v/>
      </c>
      <c r="L317" s="260">
        <f>[1]預算內選單資料來源!L317</f>
        <v/>
      </c>
    </row>
    <row r="318" ht="16.5" customHeight="1" s="124">
      <c r="A318" s="123">
        <f>[1]預算內選單資料來源!A318</f>
        <v/>
      </c>
      <c r="B318" s="260">
        <f>[1]預算內選單資料來源!B318</f>
        <v/>
      </c>
      <c r="C318" s="260">
        <f>[1]預算內選單資料來源!C318</f>
        <v/>
      </c>
      <c r="D318" s="260">
        <f>[1]預算內選單資料來源!D318</f>
        <v/>
      </c>
      <c r="E318" s="260">
        <f>[1]預算內選單資料來源!E318</f>
        <v/>
      </c>
      <c r="F318" s="260">
        <f>[1]預算內選單資料來源!F318</f>
        <v/>
      </c>
      <c r="G318" s="260">
        <f>[1]預算內選單資料來源!G318</f>
        <v/>
      </c>
      <c r="H318" s="260">
        <f>[1]預算內選單資料來源!H318</f>
        <v/>
      </c>
      <c r="I318" s="260">
        <f>[1]預算內選單資料來源!I318</f>
        <v/>
      </c>
      <c r="J318" s="260">
        <f>[1]預算內選單資料來源!J318</f>
        <v/>
      </c>
      <c r="K318" s="260">
        <f>[1]預算內選單資料來源!K318</f>
        <v/>
      </c>
      <c r="L318" s="260">
        <f>[1]預算內選單資料來源!L318</f>
        <v/>
      </c>
    </row>
    <row r="319" ht="16.5" customHeight="1" s="124">
      <c r="A319" s="123">
        <f>[1]預算內選單資料來源!A319</f>
        <v/>
      </c>
      <c r="B319" s="260">
        <f>[1]預算內選單資料來源!B319</f>
        <v/>
      </c>
      <c r="C319" s="260">
        <f>[1]預算內選單資料來源!C319</f>
        <v/>
      </c>
      <c r="D319" s="260">
        <f>[1]預算內選單資料來源!D319</f>
        <v/>
      </c>
      <c r="E319" s="260">
        <f>[1]預算內選單資料來源!E319</f>
        <v/>
      </c>
      <c r="F319" s="260">
        <f>[1]預算內選單資料來源!F319</f>
        <v/>
      </c>
      <c r="G319" s="260">
        <f>[1]預算內選單資料來源!G319</f>
        <v/>
      </c>
      <c r="H319" s="260">
        <f>[1]預算內選單資料來源!H319</f>
        <v/>
      </c>
      <c r="I319" s="260">
        <f>[1]預算內選單資料來源!I319</f>
        <v/>
      </c>
      <c r="J319" s="260">
        <f>[1]預算內選單資料來源!J319</f>
        <v/>
      </c>
      <c r="K319" s="260">
        <f>[1]預算內選單資料來源!K319</f>
        <v/>
      </c>
      <c r="L319" s="260">
        <f>[1]預算內選單資料來源!L319</f>
        <v/>
      </c>
    </row>
    <row r="320" ht="16.5" customHeight="1" s="124">
      <c r="A320" s="123">
        <f>[1]預算內選單資料來源!A320</f>
        <v/>
      </c>
      <c r="B320" s="260">
        <f>[1]預算內選單資料來源!B320</f>
        <v/>
      </c>
      <c r="C320" s="260">
        <f>[1]預算內選單資料來源!C320</f>
        <v/>
      </c>
      <c r="D320" s="260">
        <f>[1]預算內選單資料來源!D320</f>
        <v/>
      </c>
      <c r="E320" s="260">
        <f>[1]預算內選單資料來源!E320</f>
        <v/>
      </c>
      <c r="F320" s="260">
        <f>[1]預算內選單資料來源!F320</f>
        <v/>
      </c>
      <c r="G320" s="260">
        <f>[1]預算內選單資料來源!G320</f>
        <v/>
      </c>
      <c r="H320" s="260">
        <f>[1]預算內選單資料來源!H320</f>
        <v/>
      </c>
      <c r="I320" s="260">
        <f>[1]預算內選單資料來源!I320</f>
        <v/>
      </c>
      <c r="J320" s="260">
        <f>[1]預算內選單資料來源!J320</f>
        <v/>
      </c>
      <c r="K320" s="260">
        <f>[1]預算內選單資料來源!K320</f>
        <v/>
      </c>
      <c r="L320" s="260">
        <f>[1]預算內選單資料來源!L320</f>
        <v/>
      </c>
    </row>
    <row r="321" ht="16.5" customHeight="1" s="124">
      <c r="A321" s="123">
        <f>[1]預算內選單資料來源!A321</f>
        <v/>
      </c>
      <c r="B321" s="260">
        <f>[1]預算內選單資料來源!B321</f>
        <v/>
      </c>
      <c r="C321" s="260">
        <f>[1]預算內選單資料來源!C321</f>
        <v/>
      </c>
      <c r="D321" s="260">
        <f>[1]預算內選單資料來源!D321</f>
        <v/>
      </c>
      <c r="E321" s="260">
        <f>[1]預算內選單資料來源!E321</f>
        <v/>
      </c>
      <c r="F321" s="260">
        <f>[1]預算內選單資料來源!F321</f>
        <v/>
      </c>
      <c r="G321" s="260">
        <f>[1]預算內選單資料來源!G321</f>
        <v/>
      </c>
      <c r="H321" s="260">
        <f>[1]預算內選單資料來源!H321</f>
        <v/>
      </c>
      <c r="I321" s="260">
        <f>[1]預算內選單資料來源!I321</f>
        <v/>
      </c>
      <c r="J321" s="260">
        <f>[1]預算內選單資料來源!J321</f>
        <v/>
      </c>
      <c r="K321" s="260">
        <f>[1]預算內選單資料來源!K321</f>
        <v/>
      </c>
      <c r="L321" s="260">
        <f>[1]預算內選單資料來源!L321</f>
        <v/>
      </c>
    </row>
    <row r="322" ht="16.5" customHeight="1" s="124">
      <c r="A322" s="123">
        <f>[1]預算內選單資料來源!A322</f>
        <v/>
      </c>
      <c r="B322" s="260">
        <f>[1]預算內選單資料來源!B322</f>
        <v/>
      </c>
      <c r="C322" s="260">
        <f>[1]預算內選單資料來源!C322</f>
        <v/>
      </c>
      <c r="D322" s="260">
        <f>[1]預算內選單資料來源!D322</f>
        <v/>
      </c>
      <c r="E322" s="260">
        <f>[1]預算內選單資料來源!E322</f>
        <v/>
      </c>
      <c r="F322" s="260">
        <f>[1]預算內選單資料來源!F322</f>
        <v/>
      </c>
      <c r="G322" s="260">
        <f>[1]預算內選單資料來源!G322</f>
        <v/>
      </c>
      <c r="H322" s="260">
        <f>[1]預算內選單資料來源!H322</f>
        <v/>
      </c>
      <c r="I322" s="260">
        <f>[1]預算內選單資料來源!I322</f>
        <v/>
      </c>
      <c r="J322" s="260">
        <f>[1]預算內選單資料來源!J322</f>
        <v/>
      </c>
      <c r="K322" s="260">
        <f>[1]預算內選單資料來源!K322</f>
        <v/>
      </c>
      <c r="L322" s="260">
        <f>[1]預算內選單資料來源!L322</f>
        <v/>
      </c>
    </row>
    <row r="323" ht="16.5" customHeight="1" s="124">
      <c r="A323" s="123">
        <f>[1]預算內選單資料來源!A323</f>
        <v/>
      </c>
      <c r="B323" s="260">
        <f>[1]預算內選單資料來源!B323</f>
        <v/>
      </c>
      <c r="C323" s="260">
        <f>[1]預算內選單資料來源!C323</f>
        <v/>
      </c>
      <c r="D323" s="260">
        <f>[1]預算內選單資料來源!D323</f>
        <v/>
      </c>
      <c r="E323" s="260">
        <f>[1]預算內選單資料來源!E323</f>
        <v/>
      </c>
      <c r="F323" s="260">
        <f>[1]預算內選單資料來源!F323</f>
        <v/>
      </c>
      <c r="G323" s="260">
        <f>[1]預算內選單資料來源!G323</f>
        <v/>
      </c>
      <c r="H323" s="260">
        <f>[1]預算內選單資料來源!H323</f>
        <v/>
      </c>
      <c r="I323" s="260">
        <f>[1]預算內選單資料來源!I323</f>
        <v/>
      </c>
      <c r="J323" s="260">
        <f>[1]預算內選單資料來源!J323</f>
        <v/>
      </c>
      <c r="K323" s="260">
        <f>[1]預算內選單資料來源!K323</f>
        <v/>
      </c>
      <c r="L323" s="260">
        <f>[1]預算內選單資料來源!L323</f>
        <v/>
      </c>
    </row>
    <row r="324" ht="16.5" customHeight="1" s="124">
      <c r="A324" s="123">
        <f>[1]預算內選單資料來源!A324</f>
        <v/>
      </c>
      <c r="B324" s="260">
        <f>[1]預算內選單資料來源!B324</f>
        <v/>
      </c>
      <c r="C324" s="260">
        <f>[1]預算內選單資料來源!C324</f>
        <v/>
      </c>
      <c r="D324" s="260">
        <f>[1]預算內選單資料來源!D324</f>
        <v/>
      </c>
      <c r="E324" s="260">
        <f>[1]預算內選單資料來源!E324</f>
        <v/>
      </c>
      <c r="F324" s="260">
        <f>[1]預算內選單資料來源!F324</f>
        <v/>
      </c>
      <c r="G324" s="260">
        <f>[1]預算內選單資料來源!G324</f>
        <v/>
      </c>
      <c r="H324" s="260">
        <f>[1]預算內選單資料來源!H324</f>
        <v/>
      </c>
      <c r="I324" s="260">
        <f>[1]預算內選單資料來源!I324</f>
        <v/>
      </c>
      <c r="J324" s="260">
        <f>[1]預算內選單資料來源!J324</f>
        <v/>
      </c>
      <c r="K324" s="260">
        <f>[1]預算內選單資料來源!K324</f>
        <v/>
      </c>
      <c r="L324" s="260">
        <f>[1]預算內選單資料來源!L324</f>
        <v/>
      </c>
    </row>
    <row r="325" ht="16.5" customHeight="1" s="124">
      <c r="A325" s="123">
        <f>[1]預算內選單資料來源!A325</f>
        <v/>
      </c>
      <c r="B325" s="260">
        <f>[1]預算內選單資料來源!B325</f>
        <v/>
      </c>
      <c r="C325" s="260">
        <f>[1]預算內選單資料來源!C325</f>
        <v/>
      </c>
      <c r="D325" s="260">
        <f>[1]預算內選單資料來源!D325</f>
        <v/>
      </c>
      <c r="E325" s="260">
        <f>[1]預算內選單資料來源!E325</f>
        <v/>
      </c>
      <c r="F325" s="260">
        <f>[1]預算內選單資料來源!F325</f>
        <v/>
      </c>
      <c r="G325" s="260">
        <f>[1]預算內選單資料來源!G325</f>
        <v/>
      </c>
      <c r="H325" s="260">
        <f>[1]預算內選單資料來源!H325</f>
        <v/>
      </c>
      <c r="I325" s="260">
        <f>[1]預算內選單資料來源!I325</f>
        <v/>
      </c>
      <c r="J325" s="260">
        <f>[1]預算內選單資料來源!J325</f>
        <v/>
      </c>
      <c r="K325" s="260">
        <f>[1]預算內選單資料來源!K325</f>
        <v/>
      </c>
      <c r="L325" s="260">
        <f>[1]預算內選單資料來源!L325</f>
        <v/>
      </c>
    </row>
    <row r="326" ht="16.5" customHeight="1" s="124">
      <c r="A326" s="123">
        <f>[1]預算內選單資料來源!A326</f>
        <v/>
      </c>
      <c r="B326" s="260">
        <f>[1]預算內選單資料來源!B326</f>
        <v/>
      </c>
      <c r="C326" s="260">
        <f>[1]預算內選單資料來源!C326</f>
        <v/>
      </c>
      <c r="D326" s="260">
        <f>[1]預算內選單資料來源!D326</f>
        <v/>
      </c>
      <c r="E326" s="260">
        <f>[1]預算內選單資料來源!E326</f>
        <v/>
      </c>
      <c r="F326" s="260">
        <f>[1]預算內選單資料來源!F326</f>
        <v/>
      </c>
      <c r="G326" s="260">
        <f>[1]預算內選單資料來源!G326</f>
        <v/>
      </c>
      <c r="H326" s="260">
        <f>[1]預算內選單資料來源!H326</f>
        <v/>
      </c>
      <c r="I326" s="260">
        <f>[1]預算內選單資料來源!I326</f>
        <v/>
      </c>
      <c r="J326" s="260">
        <f>[1]預算內選單資料來源!J326</f>
        <v/>
      </c>
      <c r="K326" s="260">
        <f>[1]預算內選單資料來源!K326</f>
        <v/>
      </c>
      <c r="L326" s="260">
        <f>[1]預算內選單資料來源!L326</f>
        <v/>
      </c>
    </row>
    <row r="327" ht="16.5" customHeight="1" s="124">
      <c r="A327" s="123">
        <f>[1]預算內選單資料來源!A327</f>
        <v/>
      </c>
      <c r="B327" s="260">
        <f>[1]預算內選單資料來源!B327</f>
        <v/>
      </c>
      <c r="C327" s="260">
        <f>[1]預算內選單資料來源!C327</f>
        <v/>
      </c>
      <c r="D327" s="260">
        <f>[1]預算內選單資料來源!D327</f>
        <v/>
      </c>
      <c r="E327" s="260">
        <f>[1]預算內選單資料來源!E327</f>
        <v/>
      </c>
      <c r="F327" s="260">
        <f>[1]預算內選單資料來源!F327</f>
        <v/>
      </c>
      <c r="G327" s="260">
        <f>[1]預算內選單資料來源!G327</f>
        <v/>
      </c>
      <c r="H327" s="260">
        <f>[1]預算內選單資料來源!H327</f>
        <v/>
      </c>
      <c r="I327" s="260">
        <f>[1]預算內選單資料來源!I327</f>
        <v/>
      </c>
      <c r="J327" s="260">
        <f>[1]預算內選單資料來源!J327</f>
        <v/>
      </c>
      <c r="K327" s="260">
        <f>[1]預算內選單資料來源!K327</f>
        <v/>
      </c>
      <c r="L327" s="260">
        <f>[1]預算內選單資料來源!L327</f>
        <v/>
      </c>
    </row>
    <row r="328" ht="16.5" customHeight="1" s="124">
      <c r="A328" s="123">
        <f>[1]預算內選單資料來源!A328</f>
        <v/>
      </c>
      <c r="B328" s="260">
        <f>[1]預算內選單資料來源!B328</f>
        <v/>
      </c>
      <c r="C328" s="260">
        <f>[1]預算內選單資料來源!C328</f>
        <v/>
      </c>
      <c r="D328" s="260">
        <f>[1]預算內選單資料來源!D328</f>
        <v/>
      </c>
      <c r="E328" s="260">
        <f>[1]預算內選單資料來源!E328</f>
        <v/>
      </c>
      <c r="F328" s="260">
        <f>[1]預算內選單資料來源!F328</f>
        <v/>
      </c>
      <c r="G328" s="260">
        <f>[1]預算內選單資料來源!G328</f>
        <v/>
      </c>
      <c r="H328" s="260">
        <f>[1]預算內選單資料來源!H328</f>
        <v/>
      </c>
      <c r="I328" s="260">
        <f>[1]預算內選單資料來源!I328</f>
        <v/>
      </c>
      <c r="J328" s="260">
        <f>[1]預算內選單資料來源!J328</f>
        <v/>
      </c>
      <c r="K328" s="260">
        <f>[1]預算內選單資料來源!K328</f>
        <v/>
      </c>
      <c r="L328" s="260">
        <f>[1]預算內選單資料來源!L328</f>
        <v/>
      </c>
    </row>
    <row r="329" ht="16.5" customHeight="1" s="124">
      <c r="A329" s="123">
        <f>[1]預算內選單資料來源!A329</f>
        <v/>
      </c>
      <c r="B329" s="260">
        <f>[1]預算內選單資料來源!B329</f>
        <v/>
      </c>
      <c r="C329" s="260">
        <f>[1]預算內選單資料來源!C329</f>
        <v/>
      </c>
      <c r="D329" s="260">
        <f>[1]預算內選單資料來源!D329</f>
        <v/>
      </c>
      <c r="E329" s="260">
        <f>[1]預算內選單資料來源!E329</f>
        <v/>
      </c>
      <c r="F329" s="260">
        <f>[1]預算內選單資料來源!F329</f>
        <v/>
      </c>
      <c r="G329" s="260">
        <f>[1]預算內選單資料來源!G329</f>
        <v/>
      </c>
      <c r="H329" s="260">
        <f>[1]預算內選單資料來源!H329</f>
        <v/>
      </c>
      <c r="I329" s="260">
        <f>[1]預算內選單資料來源!I329</f>
        <v/>
      </c>
      <c r="J329" s="260">
        <f>[1]預算內選單資料來源!J329</f>
        <v/>
      </c>
      <c r="K329" s="260">
        <f>[1]預算內選單資料來源!K329</f>
        <v/>
      </c>
      <c r="L329" s="260">
        <f>[1]預算內選單資料來源!L329</f>
        <v/>
      </c>
    </row>
    <row r="330" ht="16.5" customHeight="1" s="124">
      <c r="A330" s="123">
        <f>[1]預算內選單資料來源!A330</f>
        <v/>
      </c>
      <c r="B330" s="260">
        <f>[1]預算內選單資料來源!B330</f>
        <v/>
      </c>
      <c r="C330" s="260">
        <f>[1]預算內選單資料來源!C330</f>
        <v/>
      </c>
      <c r="D330" s="260">
        <f>[1]預算內選單資料來源!D330</f>
        <v/>
      </c>
      <c r="E330" s="260">
        <f>[1]預算內選單資料來源!E330</f>
        <v/>
      </c>
      <c r="F330" s="260">
        <f>[1]預算內選單資料來源!F330</f>
        <v/>
      </c>
      <c r="G330" s="260">
        <f>[1]預算內選單資料來源!G330</f>
        <v/>
      </c>
      <c r="H330" s="260">
        <f>[1]預算內選單資料來源!H330</f>
        <v/>
      </c>
      <c r="I330" s="260">
        <f>[1]預算內選單資料來源!I330</f>
        <v/>
      </c>
      <c r="J330" s="260">
        <f>[1]預算內選單資料來源!J330</f>
        <v/>
      </c>
      <c r="K330" s="260">
        <f>[1]預算內選單資料來源!K330</f>
        <v/>
      </c>
      <c r="L330" s="260">
        <f>[1]預算內選單資料來源!L330</f>
        <v/>
      </c>
    </row>
    <row r="331" ht="16.5" customHeight="1" s="124">
      <c r="A331" s="123">
        <f>[1]預算內選單資料來源!A331</f>
        <v/>
      </c>
      <c r="B331" s="260">
        <f>[1]預算內選單資料來源!B331</f>
        <v/>
      </c>
      <c r="C331" s="260">
        <f>[1]預算內選單資料來源!C331</f>
        <v/>
      </c>
      <c r="D331" s="260">
        <f>[1]預算內選單資料來源!D331</f>
        <v/>
      </c>
      <c r="E331" s="260">
        <f>[1]預算內選單資料來源!E331</f>
        <v/>
      </c>
      <c r="F331" s="260">
        <f>[1]預算內選單資料來源!F331</f>
        <v/>
      </c>
      <c r="G331" s="260">
        <f>[1]預算內選單資料來源!G331</f>
        <v/>
      </c>
      <c r="H331" s="260">
        <f>[1]預算內選單資料來源!H331</f>
        <v/>
      </c>
      <c r="I331" s="260">
        <f>[1]預算內選單資料來源!I331</f>
        <v/>
      </c>
      <c r="J331" s="260">
        <f>[1]預算內選單資料來源!J331</f>
        <v/>
      </c>
      <c r="K331" s="260">
        <f>[1]預算內選單資料來源!K331</f>
        <v/>
      </c>
      <c r="L331" s="260">
        <f>[1]預算內選單資料來源!L331</f>
        <v/>
      </c>
    </row>
    <row r="332" ht="16.5" customHeight="1" s="124">
      <c r="A332" s="123">
        <f>[1]預算內選單資料來源!A332</f>
        <v/>
      </c>
      <c r="B332" s="260">
        <f>[1]預算內選單資料來源!B332</f>
        <v/>
      </c>
      <c r="C332" s="260">
        <f>[1]預算內選單資料來源!C332</f>
        <v/>
      </c>
      <c r="D332" s="260">
        <f>[1]預算內選單資料來源!D332</f>
        <v/>
      </c>
      <c r="E332" s="260">
        <f>[1]預算內選單資料來源!E332</f>
        <v/>
      </c>
      <c r="F332" s="260">
        <f>[1]預算內選單資料來源!F332</f>
        <v/>
      </c>
      <c r="G332" s="260">
        <f>[1]預算內選單資料來源!G332</f>
        <v/>
      </c>
      <c r="H332" s="260">
        <f>[1]預算內選單資料來源!H332</f>
        <v/>
      </c>
      <c r="I332" s="260">
        <f>[1]預算內選單資料來源!I332</f>
        <v/>
      </c>
      <c r="J332" s="260">
        <f>[1]預算內選單資料來源!J332</f>
        <v/>
      </c>
      <c r="K332" s="260">
        <f>[1]預算內選單資料來源!K332</f>
        <v/>
      </c>
      <c r="L332" s="260">
        <f>[1]預算內選單資料來源!L332</f>
        <v/>
      </c>
    </row>
    <row r="333" ht="16.5" customHeight="1" s="124">
      <c r="A333" s="123">
        <f>[1]預算內選單資料來源!A333</f>
        <v/>
      </c>
      <c r="B333" s="260">
        <f>[1]預算內選單資料來源!B333</f>
        <v/>
      </c>
      <c r="C333" s="260">
        <f>[1]預算內選單資料來源!C333</f>
        <v/>
      </c>
      <c r="D333" s="260">
        <f>[1]預算內選單資料來源!D333</f>
        <v/>
      </c>
      <c r="E333" s="260">
        <f>[1]預算內選單資料來源!E333</f>
        <v/>
      </c>
      <c r="F333" s="260">
        <f>[1]預算內選單資料來源!F333</f>
        <v/>
      </c>
      <c r="G333" s="260">
        <f>[1]預算內選單資料來源!G333</f>
        <v/>
      </c>
      <c r="H333" s="260">
        <f>[1]預算內選單資料來源!H333</f>
        <v/>
      </c>
      <c r="I333" s="260">
        <f>[1]預算內選單資料來源!I333</f>
        <v/>
      </c>
      <c r="J333" s="260">
        <f>[1]預算內選單資料來源!J333</f>
        <v/>
      </c>
      <c r="K333" s="260">
        <f>[1]預算內選單資料來源!K333</f>
        <v/>
      </c>
      <c r="L333" s="260">
        <f>[1]預算內選單資料來源!L333</f>
        <v/>
      </c>
    </row>
    <row r="334" ht="16.5" customHeight="1" s="124">
      <c r="A334" s="123">
        <f>[1]預算內選單資料來源!A334</f>
        <v/>
      </c>
      <c r="B334" s="260">
        <f>[1]預算內選單資料來源!B334</f>
        <v/>
      </c>
      <c r="C334" s="260">
        <f>[1]預算內選單資料來源!C334</f>
        <v/>
      </c>
      <c r="D334" s="260">
        <f>[1]預算內選單資料來源!D334</f>
        <v/>
      </c>
      <c r="E334" s="260">
        <f>[1]預算內選單資料來源!E334</f>
        <v/>
      </c>
      <c r="F334" s="260">
        <f>[1]預算內選單資料來源!F334</f>
        <v/>
      </c>
      <c r="G334" s="260">
        <f>[1]預算內選單資料來源!G334</f>
        <v/>
      </c>
      <c r="H334" s="260">
        <f>[1]預算內選單資料來源!H334</f>
        <v/>
      </c>
      <c r="I334" s="260">
        <f>[1]預算內選單資料來源!I334</f>
        <v/>
      </c>
      <c r="J334" s="260">
        <f>[1]預算內選單資料來源!J334</f>
        <v/>
      </c>
      <c r="K334" s="260">
        <f>[1]預算內選單資料來源!K334</f>
        <v/>
      </c>
      <c r="L334" s="260">
        <f>[1]預算內選單資料來源!L334</f>
        <v/>
      </c>
    </row>
    <row r="335" ht="16.5" customHeight="1" s="124">
      <c r="A335" s="123">
        <f>[1]預算內選單資料來源!A335</f>
        <v/>
      </c>
      <c r="B335" s="260">
        <f>[1]預算內選單資料來源!B335</f>
        <v/>
      </c>
      <c r="C335" s="260">
        <f>[1]預算內選單資料來源!C335</f>
        <v/>
      </c>
      <c r="D335" s="260">
        <f>[1]預算內選單資料來源!D335</f>
        <v/>
      </c>
      <c r="E335" s="260">
        <f>[1]預算內選單資料來源!E335</f>
        <v/>
      </c>
      <c r="F335" s="260">
        <f>[1]預算內選單資料來源!F335</f>
        <v/>
      </c>
      <c r="G335" s="260">
        <f>[1]預算內選單資料來源!G335</f>
        <v/>
      </c>
      <c r="H335" s="260">
        <f>[1]預算內選單資料來源!H335</f>
        <v/>
      </c>
      <c r="I335" s="260">
        <f>[1]預算內選單資料來源!I335</f>
        <v/>
      </c>
      <c r="J335" s="260">
        <f>[1]預算內選單資料來源!J335</f>
        <v/>
      </c>
      <c r="K335" s="260">
        <f>[1]預算內選單資料來源!K335</f>
        <v/>
      </c>
      <c r="L335" s="260">
        <f>[1]預算內選單資料來源!L335</f>
        <v/>
      </c>
    </row>
    <row r="336" ht="16.5" customHeight="1" s="124">
      <c r="A336" s="123">
        <f>[1]預算內選單資料來源!A336</f>
        <v/>
      </c>
      <c r="B336" s="260">
        <f>[1]預算內選單資料來源!B336</f>
        <v/>
      </c>
      <c r="C336" s="260">
        <f>[1]預算內選單資料來源!C336</f>
        <v/>
      </c>
      <c r="D336" s="260">
        <f>[1]預算內選單資料來源!D336</f>
        <v/>
      </c>
      <c r="E336" s="260">
        <f>[1]預算內選單資料來源!E336</f>
        <v/>
      </c>
      <c r="F336" s="260">
        <f>[1]預算內選單資料來源!F336</f>
        <v/>
      </c>
      <c r="G336" s="260">
        <f>[1]預算內選單資料來源!G336</f>
        <v/>
      </c>
      <c r="H336" s="260">
        <f>[1]預算內選單資料來源!H336</f>
        <v/>
      </c>
      <c r="I336" s="260">
        <f>[1]預算內選單資料來源!I336</f>
        <v/>
      </c>
      <c r="J336" s="260">
        <f>[1]預算內選單資料來源!J336</f>
        <v/>
      </c>
      <c r="K336" s="260">
        <f>[1]預算內選單資料來源!K336</f>
        <v/>
      </c>
      <c r="L336" s="260">
        <f>[1]預算內選單資料來源!L336</f>
        <v/>
      </c>
    </row>
    <row r="337" ht="16.5" customHeight="1" s="124">
      <c r="A337" s="123">
        <f>[1]預算內選單資料來源!A337</f>
        <v/>
      </c>
      <c r="B337" s="260">
        <f>[1]預算內選單資料來源!B337</f>
        <v/>
      </c>
      <c r="C337" s="260">
        <f>[1]預算內選單資料來源!C337</f>
        <v/>
      </c>
      <c r="D337" s="260">
        <f>[1]預算內選單資料來源!D337</f>
        <v/>
      </c>
      <c r="E337" s="260">
        <f>[1]預算內選單資料來源!E337</f>
        <v/>
      </c>
      <c r="F337" s="260">
        <f>[1]預算內選單資料來源!F337</f>
        <v/>
      </c>
      <c r="G337" s="260">
        <f>[1]預算內選單資料來源!G337</f>
        <v/>
      </c>
      <c r="H337" s="260">
        <f>[1]預算內選單資料來源!H337</f>
        <v/>
      </c>
      <c r="I337" s="260">
        <f>[1]預算內選單資料來源!I337</f>
        <v/>
      </c>
      <c r="J337" s="260">
        <f>[1]預算內選單資料來源!J337</f>
        <v/>
      </c>
      <c r="K337" s="260">
        <f>[1]預算內選單資料來源!K337</f>
        <v/>
      </c>
      <c r="L337" s="260">
        <f>[1]預算內選單資料來源!L337</f>
        <v/>
      </c>
    </row>
    <row r="338" ht="16.5" customHeight="1" s="124">
      <c r="A338" s="123">
        <f>[1]預算內選單資料來源!A338</f>
        <v/>
      </c>
      <c r="B338" s="260">
        <f>[1]預算內選單資料來源!B338</f>
        <v/>
      </c>
      <c r="C338" s="260">
        <f>[1]預算內選單資料來源!C338</f>
        <v/>
      </c>
      <c r="D338" s="260">
        <f>[1]預算內選單資料來源!D338</f>
        <v/>
      </c>
      <c r="E338" s="260">
        <f>[1]預算內選單資料來源!E338</f>
        <v/>
      </c>
      <c r="F338" s="260">
        <f>[1]預算內選單資料來源!F338</f>
        <v/>
      </c>
      <c r="G338" s="260">
        <f>[1]預算內選單資料來源!G338</f>
        <v/>
      </c>
      <c r="H338" s="260">
        <f>[1]預算內選單資料來源!H338</f>
        <v/>
      </c>
      <c r="I338" s="260">
        <f>[1]預算內選單資料來源!I338</f>
        <v/>
      </c>
      <c r="J338" s="260">
        <f>[1]預算內選單資料來源!J338</f>
        <v/>
      </c>
      <c r="K338" s="260">
        <f>[1]預算內選單資料來源!K338</f>
        <v/>
      </c>
      <c r="L338" s="260">
        <f>[1]預算內選單資料來源!L338</f>
        <v/>
      </c>
    </row>
    <row r="339" ht="16.5" customHeight="1" s="124">
      <c r="A339" s="123">
        <f>[1]預算內選單資料來源!A339</f>
        <v/>
      </c>
      <c r="B339" s="260">
        <f>[1]預算內選單資料來源!B339</f>
        <v/>
      </c>
      <c r="C339" s="260">
        <f>[1]預算內選單資料來源!C339</f>
        <v/>
      </c>
      <c r="D339" s="260">
        <f>[1]預算內選單資料來源!D339</f>
        <v/>
      </c>
      <c r="E339" s="260">
        <f>[1]預算內選單資料來源!E339</f>
        <v/>
      </c>
      <c r="F339" s="260">
        <f>[1]預算內選單資料來源!F339</f>
        <v/>
      </c>
      <c r="G339" s="260">
        <f>[1]預算內選單資料來源!G339</f>
        <v/>
      </c>
      <c r="H339" s="260">
        <f>[1]預算內選單資料來源!H339</f>
        <v/>
      </c>
      <c r="I339" s="260">
        <f>[1]預算內選單資料來源!I339</f>
        <v/>
      </c>
      <c r="J339" s="260">
        <f>[1]預算內選單資料來源!J339</f>
        <v/>
      </c>
      <c r="K339" s="260">
        <f>[1]預算內選單資料來源!K339</f>
        <v/>
      </c>
      <c r="L339" s="260">
        <f>[1]預算內選單資料來源!L339</f>
        <v/>
      </c>
    </row>
    <row r="340" ht="16.5" customHeight="1" s="124">
      <c r="A340" s="123">
        <f>[1]預算內選單資料來源!A340</f>
        <v/>
      </c>
      <c r="B340" s="260">
        <f>[1]預算內選單資料來源!B340</f>
        <v/>
      </c>
      <c r="C340" s="260">
        <f>[1]預算內選單資料來源!C340</f>
        <v/>
      </c>
      <c r="D340" s="260">
        <f>[1]預算內選單資料來源!D340</f>
        <v/>
      </c>
      <c r="E340" s="260">
        <f>[1]預算內選單資料來源!E340</f>
        <v/>
      </c>
      <c r="F340" s="260">
        <f>[1]預算內選單資料來源!F340</f>
        <v/>
      </c>
      <c r="G340" s="260">
        <f>[1]預算內選單資料來源!G340</f>
        <v/>
      </c>
      <c r="H340" s="260">
        <f>[1]預算內選單資料來源!H340</f>
        <v/>
      </c>
      <c r="I340" s="260">
        <f>[1]預算內選單資料來源!I340</f>
        <v/>
      </c>
      <c r="J340" s="260">
        <f>[1]預算內選單資料來源!J340</f>
        <v/>
      </c>
      <c r="K340" s="260">
        <f>[1]預算內選單資料來源!K340</f>
        <v/>
      </c>
      <c r="L340" s="260">
        <f>[1]預算內選單資料來源!L340</f>
        <v/>
      </c>
    </row>
    <row r="341" ht="16.5" customHeight="1" s="124">
      <c r="A341" s="123">
        <f>[1]預算內選單資料來源!A341</f>
        <v/>
      </c>
      <c r="B341" s="260">
        <f>[1]預算內選單資料來源!B341</f>
        <v/>
      </c>
      <c r="C341" s="260">
        <f>[1]預算內選單資料來源!C341</f>
        <v/>
      </c>
      <c r="D341" s="260">
        <f>[1]預算內選單資料來源!D341</f>
        <v/>
      </c>
      <c r="E341" s="260">
        <f>[1]預算內選單資料來源!E341</f>
        <v/>
      </c>
      <c r="F341" s="260">
        <f>[1]預算內選單資料來源!F341</f>
        <v/>
      </c>
      <c r="G341" s="260">
        <f>[1]預算內選單資料來源!G341</f>
        <v/>
      </c>
      <c r="H341" s="260">
        <f>[1]預算內選單資料來源!H341</f>
        <v/>
      </c>
      <c r="I341" s="260">
        <f>[1]預算內選單資料來源!I341</f>
        <v/>
      </c>
      <c r="J341" s="260">
        <f>[1]預算內選單資料來源!J341</f>
        <v/>
      </c>
      <c r="K341" s="260">
        <f>[1]預算內選單資料來源!K341</f>
        <v/>
      </c>
      <c r="L341" s="260">
        <f>[1]預算內選單資料來源!L341</f>
        <v/>
      </c>
    </row>
    <row r="342" ht="16.5" customHeight="1" s="124">
      <c r="A342" s="123">
        <f>[1]預算內選單資料來源!A342</f>
        <v/>
      </c>
      <c r="B342" s="260">
        <f>[1]預算內選單資料來源!B342</f>
        <v/>
      </c>
      <c r="C342" s="260">
        <f>[1]預算內選單資料來源!C342</f>
        <v/>
      </c>
      <c r="D342" s="260">
        <f>[1]預算內選單資料來源!D342</f>
        <v/>
      </c>
      <c r="E342" s="260">
        <f>[1]預算內選單資料來源!E342</f>
        <v/>
      </c>
      <c r="F342" s="260">
        <f>[1]預算內選單資料來源!F342</f>
        <v/>
      </c>
      <c r="G342" s="260">
        <f>[1]預算內選單資料來源!G342</f>
        <v/>
      </c>
      <c r="H342" s="260">
        <f>[1]預算內選單資料來源!H342</f>
        <v/>
      </c>
      <c r="I342" s="260">
        <f>[1]預算內選單資料來源!I342</f>
        <v/>
      </c>
      <c r="J342" s="260">
        <f>[1]預算內選單資料來源!J342</f>
        <v/>
      </c>
      <c r="K342" s="260">
        <f>[1]預算內選單資料來源!K342</f>
        <v/>
      </c>
      <c r="L342" s="260">
        <f>[1]預算內選單資料來源!L342</f>
        <v/>
      </c>
    </row>
    <row r="343" ht="16.5" customHeight="1" s="124">
      <c r="A343" s="123">
        <f>[1]預算內選單資料來源!A343</f>
        <v/>
      </c>
      <c r="B343" s="260">
        <f>[1]預算內選單資料來源!B343</f>
        <v/>
      </c>
      <c r="C343" s="260">
        <f>[1]預算內選單資料來源!C343</f>
        <v/>
      </c>
      <c r="D343" s="260">
        <f>[1]預算內選單資料來源!D343</f>
        <v/>
      </c>
      <c r="E343" s="260">
        <f>[1]預算內選單資料來源!E343</f>
        <v/>
      </c>
      <c r="F343" s="260">
        <f>[1]預算內選單資料來源!F343</f>
        <v/>
      </c>
      <c r="G343" s="260">
        <f>[1]預算內選單資料來源!G343</f>
        <v/>
      </c>
      <c r="H343" s="260">
        <f>[1]預算內選單資料來源!H343</f>
        <v/>
      </c>
      <c r="I343" s="260">
        <f>[1]預算內選單資料來源!I343</f>
        <v/>
      </c>
      <c r="J343" s="260">
        <f>[1]預算內選單資料來源!J343</f>
        <v/>
      </c>
      <c r="K343" s="260">
        <f>[1]預算內選單資料來源!K343</f>
        <v/>
      </c>
      <c r="L343" s="260">
        <f>[1]預算內選單資料來源!L343</f>
        <v/>
      </c>
    </row>
    <row r="344" ht="16.5" customHeight="1" s="124">
      <c r="A344" s="123">
        <f>[1]預算內選單資料來源!A344</f>
        <v/>
      </c>
      <c r="B344" s="260">
        <f>[1]預算內選單資料來源!B344</f>
        <v/>
      </c>
      <c r="C344" s="260">
        <f>[1]預算內選單資料來源!C344</f>
        <v/>
      </c>
      <c r="D344" s="260">
        <f>[1]預算內選單資料來源!D344</f>
        <v/>
      </c>
      <c r="E344" s="260">
        <f>[1]預算內選單資料來源!E344</f>
        <v/>
      </c>
      <c r="F344" s="260">
        <f>[1]預算內選單資料來源!F344</f>
        <v/>
      </c>
      <c r="G344" s="260">
        <f>[1]預算內選單資料來源!G344</f>
        <v/>
      </c>
      <c r="H344" s="260">
        <f>[1]預算內選單資料來源!H344</f>
        <v/>
      </c>
      <c r="I344" s="260">
        <f>[1]預算內選單資料來源!I344</f>
        <v/>
      </c>
      <c r="J344" s="260">
        <f>[1]預算內選單資料來源!J344</f>
        <v/>
      </c>
      <c r="K344" s="260">
        <f>[1]預算內選單資料來源!K344</f>
        <v/>
      </c>
      <c r="L344" s="260">
        <f>[1]預算內選單資料來源!L344</f>
        <v/>
      </c>
    </row>
    <row r="345" ht="16.5" customHeight="1" s="124">
      <c r="A345" s="123">
        <f>[1]預算內選單資料來源!A345</f>
        <v/>
      </c>
      <c r="B345" s="260">
        <f>[1]預算內選單資料來源!B345</f>
        <v/>
      </c>
      <c r="C345" s="260">
        <f>[1]預算內選單資料來源!C345</f>
        <v/>
      </c>
      <c r="D345" s="260">
        <f>[1]預算內選單資料來源!D345</f>
        <v/>
      </c>
      <c r="E345" s="260">
        <f>[1]預算內選單資料來源!E345</f>
        <v/>
      </c>
      <c r="F345" s="260">
        <f>[1]預算內選單資料來源!F345</f>
        <v/>
      </c>
      <c r="G345" s="260">
        <f>[1]預算內選單資料來源!G345</f>
        <v/>
      </c>
      <c r="H345" s="260">
        <f>[1]預算內選單資料來源!H345</f>
        <v/>
      </c>
      <c r="I345" s="260">
        <f>[1]預算內選單資料來源!I345</f>
        <v/>
      </c>
      <c r="J345" s="260">
        <f>[1]預算內選單資料來源!J345</f>
        <v/>
      </c>
      <c r="K345" s="260">
        <f>[1]預算內選單資料來源!K345</f>
        <v/>
      </c>
      <c r="L345" s="260">
        <f>[1]預算內選單資料來源!L345</f>
        <v/>
      </c>
    </row>
    <row r="346" ht="16.5" customHeight="1" s="124">
      <c r="A346" s="123">
        <f>[1]預算內選單資料來源!A346</f>
        <v/>
      </c>
      <c r="B346" s="260">
        <f>[1]預算內選單資料來源!B346</f>
        <v/>
      </c>
      <c r="C346" s="260">
        <f>[1]預算內選單資料來源!C346</f>
        <v/>
      </c>
      <c r="D346" s="260">
        <f>[1]預算內選單資料來源!D346</f>
        <v/>
      </c>
      <c r="E346" s="260">
        <f>[1]預算內選單資料來源!E346</f>
        <v/>
      </c>
      <c r="F346" s="260">
        <f>[1]預算內選單資料來源!F346</f>
        <v/>
      </c>
      <c r="G346" s="260">
        <f>[1]預算內選單資料來源!G346</f>
        <v/>
      </c>
      <c r="H346" s="260">
        <f>[1]預算內選單資料來源!H346</f>
        <v/>
      </c>
      <c r="I346" s="260">
        <f>[1]預算內選單資料來源!I346</f>
        <v/>
      </c>
      <c r="J346" s="260">
        <f>[1]預算內選單資料來源!J346</f>
        <v/>
      </c>
      <c r="K346" s="260">
        <f>[1]預算內選單資料來源!K346</f>
        <v/>
      </c>
      <c r="L346" s="260">
        <f>[1]預算內選單資料來源!L346</f>
        <v/>
      </c>
    </row>
    <row r="347" ht="16.5" customHeight="1" s="124">
      <c r="A347" s="123">
        <f>[1]預算內選單資料來源!A347</f>
        <v/>
      </c>
      <c r="B347" s="260">
        <f>[1]預算內選單資料來源!B347</f>
        <v/>
      </c>
      <c r="C347" s="260">
        <f>[1]預算內選單資料來源!C347</f>
        <v/>
      </c>
      <c r="D347" s="260">
        <f>[1]預算內選單資料來源!D347</f>
        <v/>
      </c>
      <c r="E347" s="260">
        <f>[1]預算內選單資料來源!E347</f>
        <v/>
      </c>
      <c r="F347" s="260">
        <f>[1]預算內選單資料來源!F347</f>
        <v/>
      </c>
      <c r="G347" s="260">
        <f>[1]預算內選單資料來源!G347</f>
        <v/>
      </c>
      <c r="H347" s="260">
        <f>[1]預算內選單資料來源!H347</f>
        <v/>
      </c>
      <c r="I347" s="260">
        <f>[1]預算內選單資料來源!I347</f>
        <v/>
      </c>
      <c r="J347" s="260">
        <f>[1]預算內選單資料來源!J347</f>
        <v/>
      </c>
      <c r="K347" s="260">
        <f>[1]預算內選單資料來源!K347</f>
        <v/>
      </c>
      <c r="L347" s="260">
        <f>[1]預算內選單資料來源!L347</f>
        <v/>
      </c>
    </row>
    <row r="348" ht="16.5" customHeight="1" s="124">
      <c r="A348" s="123">
        <f>[1]預算內選單資料來源!A348</f>
        <v/>
      </c>
      <c r="B348" s="260">
        <f>[1]預算內選單資料來源!B348</f>
        <v/>
      </c>
      <c r="C348" s="260">
        <f>[1]預算內選單資料來源!C348</f>
        <v/>
      </c>
      <c r="D348" s="260">
        <f>[1]預算內選單資料來源!D348</f>
        <v/>
      </c>
      <c r="E348" s="260">
        <f>[1]預算內選單資料來源!E348</f>
        <v/>
      </c>
      <c r="F348" s="260">
        <f>[1]預算內選單資料來源!F348</f>
        <v/>
      </c>
      <c r="G348" s="260">
        <f>[1]預算內選單資料來源!G348</f>
        <v/>
      </c>
      <c r="H348" s="260">
        <f>[1]預算內選單資料來源!H348</f>
        <v/>
      </c>
      <c r="I348" s="260">
        <f>[1]預算內選單資料來源!I348</f>
        <v/>
      </c>
      <c r="J348" s="260">
        <f>[1]預算內選單資料來源!J348</f>
        <v/>
      </c>
      <c r="K348" s="260">
        <f>[1]預算內選單資料來源!K348</f>
        <v/>
      </c>
      <c r="L348" s="260">
        <f>[1]預算內選單資料來源!L348</f>
        <v/>
      </c>
    </row>
    <row r="349" ht="16.5" customHeight="1" s="124">
      <c r="A349" s="123">
        <f>[1]預算內選單資料來源!A349</f>
        <v/>
      </c>
      <c r="B349" s="260">
        <f>[1]預算內選單資料來源!B349</f>
        <v/>
      </c>
      <c r="C349" s="260">
        <f>[1]預算內選單資料來源!C349</f>
        <v/>
      </c>
      <c r="D349" s="260">
        <f>[1]預算內選單資料來源!D349</f>
        <v/>
      </c>
      <c r="E349" s="260">
        <f>[1]預算內選單資料來源!E349</f>
        <v/>
      </c>
      <c r="F349" s="260">
        <f>[1]預算內選單資料來源!F349</f>
        <v/>
      </c>
      <c r="G349" s="260">
        <f>[1]預算內選單資料來源!G349</f>
        <v/>
      </c>
      <c r="H349" s="260">
        <f>[1]預算內選單資料來源!H349</f>
        <v/>
      </c>
      <c r="I349" s="260">
        <f>[1]預算內選單資料來源!I349</f>
        <v/>
      </c>
      <c r="J349" s="260">
        <f>[1]預算內選單資料來源!J349</f>
        <v/>
      </c>
      <c r="K349" s="260">
        <f>[1]預算內選單資料來源!K349</f>
        <v/>
      </c>
      <c r="L349" s="260">
        <f>[1]預算內選單資料來源!L349</f>
        <v/>
      </c>
    </row>
    <row r="350" ht="16.5" customHeight="1" s="124">
      <c r="A350" s="123">
        <f>[1]預算內選單資料來源!A350</f>
        <v/>
      </c>
      <c r="B350" s="260">
        <f>[1]預算內選單資料來源!B350</f>
        <v/>
      </c>
      <c r="C350" s="260">
        <f>[1]預算內選單資料來源!C350</f>
        <v/>
      </c>
      <c r="D350" s="260">
        <f>[1]預算內選單資料來源!D350</f>
        <v/>
      </c>
      <c r="E350" s="260">
        <f>[1]預算內選單資料來源!E350</f>
        <v/>
      </c>
      <c r="F350" s="260">
        <f>[1]預算內選單資料來源!F350</f>
        <v/>
      </c>
      <c r="G350" s="260">
        <f>[1]預算內選單資料來源!G350</f>
        <v/>
      </c>
      <c r="H350" s="260">
        <f>[1]預算內選單資料來源!H350</f>
        <v/>
      </c>
      <c r="I350" s="260">
        <f>[1]預算內選單資料來源!I350</f>
        <v/>
      </c>
      <c r="J350" s="260">
        <f>[1]預算內選單資料來源!J350</f>
        <v/>
      </c>
      <c r="K350" s="260">
        <f>[1]預算內選單資料來源!K350</f>
        <v/>
      </c>
      <c r="L350" s="260">
        <f>[1]預算內選單資料來源!L350</f>
        <v/>
      </c>
    </row>
    <row r="351" ht="16.5" customHeight="1" s="124">
      <c r="A351" s="123">
        <f>[1]預算內選單資料來源!A351</f>
        <v/>
      </c>
      <c r="B351" s="260">
        <f>[1]預算內選單資料來源!B351</f>
        <v/>
      </c>
      <c r="C351" s="260">
        <f>[1]預算內選單資料來源!C351</f>
        <v/>
      </c>
      <c r="D351" s="260">
        <f>[1]預算內選單資料來源!D351</f>
        <v/>
      </c>
      <c r="E351" s="260">
        <f>[1]預算內選單資料來源!E351</f>
        <v/>
      </c>
      <c r="F351" s="260">
        <f>[1]預算內選單資料來源!F351</f>
        <v/>
      </c>
      <c r="G351" s="260">
        <f>[1]預算內選單資料來源!G351</f>
        <v/>
      </c>
      <c r="H351" s="260">
        <f>[1]預算內選單資料來源!H351</f>
        <v/>
      </c>
      <c r="I351" s="260">
        <f>[1]預算內選單資料來源!I351</f>
        <v/>
      </c>
      <c r="J351" s="260">
        <f>[1]預算內選單資料來源!J351</f>
        <v/>
      </c>
      <c r="K351" s="260">
        <f>[1]預算內選單資料來源!K351</f>
        <v/>
      </c>
      <c r="L351" s="260">
        <f>[1]預算內選單資料來源!L351</f>
        <v/>
      </c>
    </row>
    <row r="352" ht="16.5" customHeight="1" s="124">
      <c r="A352" s="123">
        <f>[1]預算內選單資料來源!A352</f>
        <v/>
      </c>
      <c r="B352" s="260">
        <f>[1]預算內選單資料來源!B352</f>
        <v/>
      </c>
      <c r="C352" s="260">
        <f>[1]預算內選單資料來源!C352</f>
        <v/>
      </c>
      <c r="D352" s="260">
        <f>[1]預算內選單資料來源!D352</f>
        <v/>
      </c>
      <c r="E352" s="260">
        <f>[1]預算內選單資料來源!E352</f>
        <v/>
      </c>
      <c r="F352" s="260">
        <f>[1]預算內選單資料來源!F352</f>
        <v/>
      </c>
      <c r="G352" s="260">
        <f>[1]預算內選單資料來源!G352</f>
        <v/>
      </c>
      <c r="H352" s="260">
        <f>[1]預算內選單資料來源!H352</f>
        <v/>
      </c>
      <c r="I352" s="260">
        <f>[1]預算內選單資料來源!I352</f>
        <v/>
      </c>
      <c r="J352" s="260">
        <f>[1]預算內選單資料來源!J352</f>
        <v/>
      </c>
      <c r="K352" s="260">
        <f>[1]預算內選單資料來源!K352</f>
        <v/>
      </c>
      <c r="L352" s="260">
        <f>[1]預算內選單資料來源!L352</f>
        <v/>
      </c>
    </row>
    <row r="353" ht="16.5" customHeight="1" s="124">
      <c r="A353" s="123">
        <f>[1]預算內選單資料來源!A353</f>
        <v/>
      </c>
      <c r="B353" s="260">
        <f>[1]預算內選單資料來源!B353</f>
        <v/>
      </c>
      <c r="C353" s="260">
        <f>[1]預算內選單資料來源!C353</f>
        <v/>
      </c>
      <c r="D353" s="260">
        <f>[1]預算內選單資料來源!D353</f>
        <v/>
      </c>
      <c r="E353" s="260">
        <f>[1]預算內選單資料來源!E353</f>
        <v/>
      </c>
      <c r="F353" s="260">
        <f>[1]預算內選單資料來源!F353</f>
        <v/>
      </c>
      <c r="G353" s="260">
        <f>[1]預算內選單資料來源!G353</f>
        <v/>
      </c>
      <c r="H353" s="260">
        <f>[1]預算內選單資料來源!H353</f>
        <v/>
      </c>
      <c r="I353" s="260">
        <f>[1]預算內選單資料來源!I353</f>
        <v/>
      </c>
      <c r="J353" s="260">
        <f>[1]預算內選單資料來源!J353</f>
        <v/>
      </c>
      <c r="K353" s="260">
        <f>[1]預算內選單資料來源!K353</f>
        <v/>
      </c>
      <c r="L353" s="260">
        <f>[1]預算內選單資料來源!L353</f>
        <v/>
      </c>
    </row>
    <row r="354" ht="16.5" customHeight="1" s="124">
      <c r="A354" s="123">
        <f>[1]預算內選單資料來源!A354</f>
        <v/>
      </c>
      <c r="B354" s="260">
        <f>[1]預算內選單資料來源!B354</f>
        <v/>
      </c>
      <c r="C354" s="260">
        <f>[1]預算內選單資料來源!C354</f>
        <v/>
      </c>
      <c r="D354" s="260">
        <f>[1]預算內選單資料來源!D354</f>
        <v/>
      </c>
      <c r="E354" s="260">
        <f>[1]預算內選單資料來源!E354</f>
        <v/>
      </c>
      <c r="F354" s="260">
        <f>[1]預算內選單資料來源!F354</f>
        <v/>
      </c>
      <c r="G354" s="260">
        <f>[1]預算內選單資料來源!G354</f>
        <v/>
      </c>
      <c r="H354" s="260">
        <f>[1]預算內選單資料來源!H354</f>
        <v/>
      </c>
      <c r="I354" s="260">
        <f>[1]預算內選單資料來源!I354</f>
        <v/>
      </c>
      <c r="J354" s="260">
        <f>[1]預算內選單資料來源!J354</f>
        <v/>
      </c>
      <c r="K354" s="260">
        <f>[1]預算內選單資料來源!K354</f>
        <v/>
      </c>
      <c r="L354" s="260">
        <f>[1]預算內選單資料來源!L354</f>
        <v/>
      </c>
    </row>
    <row r="355" ht="16.5" customHeight="1" s="124">
      <c r="A355" s="123">
        <f>[1]預算內選單資料來源!A355</f>
        <v/>
      </c>
      <c r="B355" s="260">
        <f>[1]預算內選單資料來源!B355</f>
        <v/>
      </c>
      <c r="C355" s="260">
        <f>[1]預算內選單資料來源!C355</f>
        <v/>
      </c>
      <c r="D355" s="260">
        <f>[1]預算內選單資料來源!D355</f>
        <v/>
      </c>
      <c r="E355" s="260">
        <f>[1]預算內選單資料來源!E355</f>
        <v/>
      </c>
      <c r="F355" s="260">
        <f>[1]預算內選單資料來源!F355</f>
        <v/>
      </c>
      <c r="G355" s="260">
        <f>[1]預算內選單資料來源!G355</f>
        <v/>
      </c>
      <c r="H355" s="260">
        <f>[1]預算內選單資料來源!H355</f>
        <v/>
      </c>
      <c r="I355" s="260">
        <f>[1]預算內選單資料來源!I355</f>
        <v/>
      </c>
      <c r="J355" s="260">
        <f>[1]預算內選單資料來源!J355</f>
        <v/>
      </c>
      <c r="K355" s="260">
        <f>[1]預算內選單資料來源!K355</f>
        <v/>
      </c>
      <c r="L355" s="260">
        <f>[1]預算內選單資料來源!L355</f>
        <v/>
      </c>
    </row>
    <row r="356" ht="16.5" customHeight="1" s="124">
      <c r="A356" s="123">
        <f>[1]預算內選單資料來源!A356</f>
        <v/>
      </c>
      <c r="B356" s="260">
        <f>[1]預算內選單資料來源!B356</f>
        <v/>
      </c>
      <c r="C356" s="260">
        <f>[1]預算內選單資料來源!C356</f>
        <v/>
      </c>
      <c r="D356" s="260">
        <f>[1]預算內選單資料來源!D356</f>
        <v/>
      </c>
      <c r="E356" s="260">
        <f>[1]預算內選單資料來源!E356</f>
        <v/>
      </c>
      <c r="F356" s="260">
        <f>[1]預算內選單資料來源!F356</f>
        <v/>
      </c>
      <c r="G356" s="260">
        <f>[1]預算內選單資料來源!G356</f>
        <v/>
      </c>
      <c r="H356" s="260">
        <f>[1]預算內選單資料來源!H356</f>
        <v/>
      </c>
      <c r="I356" s="260">
        <f>[1]預算內選單資料來源!I356</f>
        <v/>
      </c>
      <c r="J356" s="260">
        <f>[1]預算內選單資料來源!J356</f>
        <v/>
      </c>
      <c r="K356" s="260">
        <f>[1]預算內選單資料來源!K356</f>
        <v/>
      </c>
      <c r="L356" s="260">
        <f>[1]預算內選單資料來源!L356</f>
        <v/>
      </c>
    </row>
    <row r="357" ht="16.5" customHeight="1" s="124">
      <c r="A357" s="123">
        <f>[1]預算內選單資料來源!A357</f>
        <v/>
      </c>
      <c r="B357" s="260">
        <f>[1]預算內選單資料來源!B357</f>
        <v/>
      </c>
      <c r="C357" s="260">
        <f>[1]預算內選單資料來源!C357</f>
        <v/>
      </c>
      <c r="D357" s="260">
        <f>[1]預算內選單資料來源!D357</f>
        <v/>
      </c>
      <c r="E357" s="260">
        <f>[1]預算內選單資料來源!E357</f>
        <v/>
      </c>
      <c r="F357" s="260">
        <f>[1]預算內選單資料來源!F357</f>
        <v/>
      </c>
      <c r="G357" s="260">
        <f>[1]預算內選單資料來源!G357</f>
        <v/>
      </c>
      <c r="H357" s="260">
        <f>[1]預算內選單資料來源!H357</f>
        <v/>
      </c>
      <c r="I357" s="260">
        <f>[1]預算內選單資料來源!I357</f>
        <v/>
      </c>
      <c r="J357" s="260">
        <f>[1]預算內選單資料來源!J357</f>
        <v/>
      </c>
      <c r="K357" s="260">
        <f>[1]預算內選單資料來源!K357</f>
        <v/>
      </c>
      <c r="L357" s="260">
        <f>[1]預算內選單資料來源!L357</f>
        <v/>
      </c>
    </row>
    <row r="358" ht="16.5" customHeight="1" s="124">
      <c r="A358" s="123">
        <f>[1]預算內選單資料來源!A358</f>
        <v/>
      </c>
      <c r="B358" s="260">
        <f>[1]預算內選單資料來源!B358</f>
        <v/>
      </c>
      <c r="C358" s="260">
        <f>[1]預算內選單資料來源!C358</f>
        <v/>
      </c>
      <c r="D358" s="260">
        <f>[1]預算內選單資料來源!D358</f>
        <v/>
      </c>
      <c r="E358" s="260">
        <f>[1]預算內選單資料來源!E358</f>
        <v/>
      </c>
      <c r="F358" s="260">
        <f>[1]預算內選單資料來源!F358</f>
        <v/>
      </c>
      <c r="G358" s="260">
        <f>[1]預算內選單資料來源!G358</f>
        <v/>
      </c>
      <c r="H358" s="260">
        <f>[1]預算內選單資料來源!H358</f>
        <v/>
      </c>
      <c r="I358" s="260">
        <f>[1]預算內選單資料來源!I358</f>
        <v/>
      </c>
      <c r="J358" s="260">
        <f>[1]預算內選單資料來源!J358</f>
        <v/>
      </c>
      <c r="K358" s="260">
        <f>[1]預算內選單資料來源!K358</f>
        <v/>
      </c>
      <c r="L358" s="260">
        <f>[1]預算內選單資料來源!L358</f>
        <v/>
      </c>
    </row>
    <row r="359" ht="16.5" customHeight="1" s="124">
      <c r="A359" s="123">
        <f>[1]預算內選單資料來源!A359</f>
        <v/>
      </c>
      <c r="B359" s="260">
        <f>[1]預算內選單資料來源!B359</f>
        <v/>
      </c>
      <c r="C359" s="260">
        <f>[1]預算內選單資料來源!C359</f>
        <v/>
      </c>
      <c r="D359" s="260">
        <f>[1]預算內選單資料來源!D359</f>
        <v/>
      </c>
      <c r="E359" s="260">
        <f>[1]預算內選單資料來源!E359</f>
        <v/>
      </c>
      <c r="F359" s="260">
        <f>[1]預算內選單資料來源!F359</f>
        <v/>
      </c>
      <c r="G359" s="260">
        <f>[1]預算內選單資料來源!G359</f>
        <v/>
      </c>
      <c r="H359" s="260">
        <f>[1]預算內選單資料來源!H359</f>
        <v/>
      </c>
      <c r="I359" s="260">
        <f>[1]預算內選單資料來源!I359</f>
        <v/>
      </c>
      <c r="J359" s="260">
        <f>[1]預算內選單資料來源!J359</f>
        <v/>
      </c>
      <c r="K359" s="260">
        <f>[1]預算內選單資料來源!K359</f>
        <v/>
      </c>
      <c r="L359" s="260">
        <f>[1]預算內選單資料來源!L359</f>
        <v/>
      </c>
    </row>
    <row r="360" ht="16.5" customHeight="1" s="124">
      <c r="A360" s="123">
        <f>[1]預算內選單資料來源!A360</f>
        <v/>
      </c>
      <c r="B360" s="260">
        <f>[1]預算內選單資料來源!B360</f>
        <v/>
      </c>
      <c r="C360" s="260">
        <f>[1]預算內選單資料來源!C360</f>
        <v/>
      </c>
      <c r="D360" s="260">
        <f>[1]預算內選單資料來源!D360</f>
        <v/>
      </c>
      <c r="E360" s="260">
        <f>[1]預算內選單資料來源!E360</f>
        <v/>
      </c>
      <c r="F360" s="260">
        <f>[1]預算內選單資料來源!F360</f>
        <v/>
      </c>
      <c r="G360" s="260">
        <f>[1]預算內選單資料來源!G360</f>
        <v/>
      </c>
      <c r="H360" s="260">
        <f>[1]預算內選單資料來源!H360</f>
        <v/>
      </c>
      <c r="I360" s="260">
        <f>[1]預算內選單資料來源!I360</f>
        <v/>
      </c>
      <c r="J360" s="260">
        <f>[1]預算內選單資料來源!J360</f>
        <v/>
      </c>
      <c r="K360" s="260">
        <f>[1]預算內選單資料來源!K360</f>
        <v/>
      </c>
      <c r="L360" s="260">
        <f>[1]預算內選單資料來源!L360</f>
        <v/>
      </c>
    </row>
    <row r="361" ht="16.5" customHeight="1" s="124">
      <c r="A361" s="123">
        <f>[1]預算內選單資料來源!A361</f>
        <v/>
      </c>
      <c r="B361" s="260">
        <f>[1]預算內選單資料來源!B361</f>
        <v/>
      </c>
      <c r="C361" s="260">
        <f>[1]預算內選單資料來源!C361</f>
        <v/>
      </c>
      <c r="D361" s="260">
        <f>[1]預算內選單資料來源!D361</f>
        <v/>
      </c>
      <c r="E361" s="260">
        <f>[1]預算內選單資料來源!E361</f>
        <v/>
      </c>
      <c r="F361" s="260">
        <f>[1]預算內選單資料來源!F361</f>
        <v/>
      </c>
      <c r="G361" s="260">
        <f>[1]預算內選單資料來源!G361</f>
        <v/>
      </c>
      <c r="H361" s="260">
        <f>[1]預算內選單資料來源!H361</f>
        <v/>
      </c>
      <c r="I361" s="260">
        <f>[1]預算內選單資料來源!I361</f>
        <v/>
      </c>
      <c r="J361" s="260">
        <f>[1]預算內選單資料來源!J361</f>
        <v/>
      </c>
      <c r="K361" s="260">
        <f>[1]預算內選單資料來源!K361</f>
        <v/>
      </c>
      <c r="L361" s="260">
        <f>[1]預算內選單資料來源!L361</f>
        <v/>
      </c>
    </row>
    <row r="362" ht="16.5" customHeight="1" s="124">
      <c r="A362" s="123">
        <f>[1]預算內選單資料來源!A362</f>
        <v/>
      </c>
      <c r="B362" s="260">
        <f>[1]預算內選單資料來源!B362</f>
        <v/>
      </c>
      <c r="C362" s="260">
        <f>[1]預算內選單資料來源!C362</f>
        <v/>
      </c>
      <c r="D362" s="260">
        <f>[1]預算內選單資料來源!D362</f>
        <v/>
      </c>
      <c r="E362" s="260">
        <f>[1]預算內選單資料來源!E362</f>
        <v/>
      </c>
      <c r="F362" s="260">
        <f>[1]預算內選單資料來源!F362</f>
        <v/>
      </c>
      <c r="G362" s="260">
        <f>[1]預算內選單資料來源!G362</f>
        <v/>
      </c>
      <c r="H362" s="260">
        <f>[1]預算內選單資料來源!H362</f>
        <v/>
      </c>
      <c r="I362" s="260">
        <f>[1]預算內選單資料來源!I362</f>
        <v/>
      </c>
      <c r="J362" s="260">
        <f>[1]預算內選單資料來源!J362</f>
        <v/>
      </c>
      <c r="K362" s="260">
        <f>[1]預算內選單資料來源!K362</f>
        <v/>
      </c>
      <c r="L362" s="260">
        <f>[1]預算內選單資料來源!L362</f>
        <v/>
      </c>
    </row>
    <row r="363" ht="16.5" customHeight="1" s="124">
      <c r="A363" s="123">
        <f>[1]預算內選單資料來源!A363</f>
        <v/>
      </c>
      <c r="B363" s="260">
        <f>[1]預算內選單資料來源!B363</f>
        <v/>
      </c>
      <c r="C363" s="260">
        <f>[1]預算內選單資料來源!C363</f>
        <v/>
      </c>
      <c r="D363" s="260">
        <f>[1]預算內選單資料來源!D363</f>
        <v/>
      </c>
      <c r="E363" s="260">
        <f>[1]預算內選單資料來源!E363</f>
        <v/>
      </c>
      <c r="F363" s="260">
        <f>[1]預算內選單資料來源!F363</f>
        <v/>
      </c>
      <c r="G363" s="260">
        <f>[1]預算內選單資料來源!G363</f>
        <v/>
      </c>
      <c r="H363" s="260">
        <f>[1]預算內選單資料來源!H363</f>
        <v/>
      </c>
      <c r="I363" s="260">
        <f>[1]預算內選單資料來源!I363</f>
        <v/>
      </c>
      <c r="J363" s="260">
        <f>[1]預算內選單資料來源!J363</f>
        <v/>
      </c>
      <c r="K363" s="260">
        <f>[1]預算內選單資料來源!K363</f>
        <v/>
      </c>
      <c r="L363" s="260">
        <f>[1]預算內選單資料來源!L363</f>
        <v/>
      </c>
    </row>
    <row r="364" ht="16.5" customHeight="1" s="124">
      <c r="A364" s="123">
        <f>[1]預算內選單資料來源!A364</f>
        <v/>
      </c>
      <c r="B364" s="260">
        <f>[1]預算內選單資料來源!B364</f>
        <v/>
      </c>
      <c r="C364" s="260">
        <f>[1]預算內選單資料來源!C364</f>
        <v/>
      </c>
      <c r="D364" s="260">
        <f>[1]預算內選單資料來源!D364</f>
        <v/>
      </c>
      <c r="E364" s="260">
        <f>[1]預算內選單資料來源!E364</f>
        <v/>
      </c>
      <c r="F364" s="260">
        <f>[1]預算內選單資料來源!F364</f>
        <v/>
      </c>
      <c r="G364" s="260">
        <f>[1]預算內選單資料來源!G364</f>
        <v/>
      </c>
      <c r="H364" s="260">
        <f>[1]預算內選單資料來源!H364</f>
        <v/>
      </c>
      <c r="I364" s="260">
        <f>[1]預算內選單資料來源!I364</f>
        <v/>
      </c>
      <c r="J364" s="260">
        <f>[1]預算內選單資料來源!J364</f>
        <v/>
      </c>
      <c r="K364" s="260">
        <f>[1]預算內選單資料來源!K364</f>
        <v/>
      </c>
      <c r="L364" s="260">
        <f>[1]預算內選單資料來源!L364</f>
        <v/>
      </c>
    </row>
    <row r="365" ht="16.5" customHeight="1" s="124">
      <c r="A365" s="123">
        <f>[1]預算內選單資料來源!A365</f>
        <v/>
      </c>
      <c r="B365" s="260">
        <f>[1]預算內選單資料來源!B365</f>
        <v/>
      </c>
      <c r="C365" s="260">
        <f>[1]預算內選單資料來源!C365</f>
        <v/>
      </c>
      <c r="D365" s="260">
        <f>[1]預算內選單資料來源!D365</f>
        <v/>
      </c>
      <c r="E365" s="260">
        <f>[1]預算內選單資料來源!E365</f>
        <v/>
      </c>
      <c r="F365" s="260">
        <f>[1]預算內選單資料來源!F365</f>
        <v/>
      </c>
      <c r="G365" s="260">
        <f>[1]預算內選單資料來源!G365</f>
        <v/>
      </c>
      <c r="H365" s="260">
        <f>[1]預算內選單資料來源!H365</f>
        <v/>
      </c>
      <c r="I365" s="260">
        <f>[1]預算內選單資料來源!I365</f>
        <v/>
      </c>
      <c r="J365" s="260">
        <f>[1]預算內選單資料來源!J365</f>
        <v/>
      </c>
      <c r="K365" s="260">
        <f>[1]預算內選單資料來源!K365</f>
        <v/>
      </c>
      <c r="L365" s="260">
        <f>[1]預算內選單資料來源!L365</f>
        <v/>
      </c>
    </row>
    <row r="366" ht="16.5" customHeight="1" s="124">
      <c r="A366" s="123">
        <f>[1]預算內選單資料來源!A366</f>
        <v/>
      </c>
      <c r="B366" s="260">
        <f>[1]預算內選單資料來源!B366</f>
        <v/>
      </c>
      <c r="C366" s="260">
        <f>[1]預算內選單資料來源!C366</f>
        <v/>
      </c>
      <c r="D366" s="260">
        <f>[1]預算內選單資料來源!D366</f>
        <v/>
      </c>
      <c r="E366" s="260">
        <f>[1]預算內選單資料來源!E366</f>
        <v/>
      </c>
      <c r="F366" s="260">
        <f>[1]預算內選單資料來源!F366</f>
        <v/>
      </c>
      <c r="G366" s="260">
        <f>[1]預算內選單資料來源!G366</f>
        <v/>
      </c>
      <c r="H366" s="260">
        <f>[1]預算內選單資料來源!H366</f>
        <v/>
      </c>
      <c r="I366" s="260">
        <f>[1]預算內選單資料來源!I366</f>
        <v/>
      </c>
      <c r="J366" s="260">
        <f>[1]預算內選單資料來源!J366</f>
        <v/>
      </c>
      <c r="K366" s="260">
        <f>[1]預算內選單資料來源!K366</f>
        <v/>
      </c>
      <c r="L366" s="260">
        <f>[1]預算內選單資料來源!L366</f>
        <v/>
      </c>
    </row>
    <row r="367" ht="16.5" customHeight="1" s="124">
      <c r="A367" s="123">
        <f>[1]預算內選單資料來源!A367</f>
        <v/>
      </c>
      <c r="B367" s="260">
        <f>[1]預算內選單資料來源!B367</f>
        <v/>
      </c>
      <c r="C367" s="260">
        <f>[1]預算內選單資料來源!C367</f>
        <v/>
      </c>
      <c r="D367" s="260">
        <f>[1]預算內選單資料來源!D367</f>
        <v/>
      </c>
      <c r="E367" s="260">
        <f>[1]預算內選單資料來源!E367</f>
        <v/>
      </c>
      <c r="F367" s="260">
        <f>[1]預算內選單資料來源!F367</f>
        <v/>
      </c>
      <c r="G367" s="260">
        <f>[1]預算內選單資料來源!G367</f>
        <v/>
      </c>
      <c r="H367" s="260">
        <f>[1]預算內選單資料來源!H367</f>
        <v/>
      </c>
      <c r="I367" s="260">
        <f>[1]預算內選單資料來源!I367</f>
        <v/>
      </c>
      <c r="J367" s="260">
        <f>[1]預算內選單資料來源!J367</f>
        <v/>
      </c>
      <c r="K367" s="260">
        <f>[1]預算內選單資料來源!K367</f>
        <v/>
      </c>
      <c r="L367" s="260">
        <f>[1]預算內選單資料來源!L367</f>
        <v/>
      </c>
    </row>
    <row r="368" ht="16.5" customHeight="1" s="124">
      <c r="A368" s="123">
        <f>[1]預算內選單資料來源!A368</f>
        <v/>
      </c>
      <c r="B368" s="260">
        <f>[1]預算內選單資料來源!B368</f>
        <v/>
      </c>
      <c r="C368" s="260">
        <f>[1]預算內選單資料來源!C368</f>
        <v/>
      </c>
      <c r="D368" s="260">
        <f>[1]預算內選單資料來源!D368</f>
        <v/>
      </c>
      <c r="E368" s="260">
        <f>[1]預算內選單資料來源!E368</f>
        <v/>
      </c>
      <c r="F368" s="260">
        <f>[1]預算內選單資料來源!F368</f>
        <v/>
      </c>
      <c r="G368" s="260">
        <f>[1]預算內選單資料來源!G368</f>
        <v/>
      </c>
      <c r="H368" s="260">
        <f>[1]預算內選單資料來源!H368</f>
        <v/>
      </c>
      <c r="I368" s="260">
        <f>[1]預算內選單資料來源!I368</f>
        <v/>
      </c>
      <c r="J368" s="260">
        <f>[1]預算內選單資料來源!J368</f>
        <v/>
      </c>
      <c r="K368" s="260">
        <f>[1]預算內選單資料來源!K368</f>
        <v/>
      </c>
      <c r="L368" s="260">
        <f>[1]預算內選單資料來源!L368</f>
        <v/>
      </c>
    </row>
    <row r="369" ht="16.5" customHeight="1" s="124">
      <c r="A369" s="123">
        <f>[1]預算內選單資料來源!A369</f>
        <v/>
      </c>
      <c r="B369" s="260">
        <f>[1]預算內選單資料來源!B369</f>
        <v/>
      </c>
      <c r="C369" s="260">
        <f>[1]預算內選單資料來源!C369</f>
        <v/>
      </c>
      <c r="D369" s="260">
        <f>[1]預算內選單資料來源!D369</f>
        <v/>
      </c>
      <c r="E369" s="260">
        <f>[1]預算內選單資料來源!E369</f>
        <v/>
      </c>
      <c r="F369" s="260">
        <f>[1]預算內選單資料來源!F369</f>
        <v/>
      </c>
      <c r="G369" s="260">
        <f>[1]預算內選單資料來源!G369</f>
        <v/>
      </c>
      <c r="H369" s="260">
        <f>[1]預算內選單資料來源!H369</f>
        <v/>
      </c>
      <c r="I369" s="260">
        <f>[1]預算內選單資料來源!I369</f>
        <v/>
      </c>
      <c r="J369" s="260">
        <f>[1]預算內選單資料來源!J369</f>
        <v/>
      </c>
      <c r="K369" s="260">
        <f>[1]預算內選單資料來源!K369</f>
        <v/>
      </c>
      <c r="L369" s="260">
        <f>[1]預算內選單資料來源!L369</f>
        <v/>
      </c>
    </row>
    <row r="370" ht="16.5" customHeight="1" s="124">
      <c r="A370" s="123">
        <f>[1]預算內選單資料來源!A370</f>
        <v/>
      </c>
      <c r="B370" s="260">
        <f>[1]預算內選單資料來源!B370</f>
        <v/>
      </c>
      <c r="C370" s="260">
        <f>[1]預算內選單資料來源!C370</f>
        <v/>
      </c>
      <c r="D370" s="260">
        <f>[1]預算內選單資料來源!D370</f>
        <v/>
      </c>
      <c r="E370" s="260">
        <f>[1]預算內選單資料來源!E370</f>
        <v/>
      </c>
      <c r="F370" s="260">
        <f>[1]預算內選單資料來源!F370</f>
        <v/>
      </c>
      <c r="G370" s="260">
        <f>[1]預算內選單資料來源!G370</f>
        <v/>
      </c>
      <c r="H370" s="260">
        <f>[1]預算內選單資料來源!H370</f>
        <v/>
      </c>
      <c r="I370" s="260">
        <f>[1]預算內選單資料來源!I370</f>
        <v/>
      </c>
      <c r="J370" s="260">
        <f>[1]預算內選單資料來源!J370</f>
        <v/>
      </c>
      <c r="K370" s="260">
        <f>[1]預算內選單資料來源!K370</f>
        <v/>
      </c>
      <c r="L370" s="260">
        <f>[1]預算內選單資料來源!L370</f>
        <v/>
      </c>
    </row>
    <row r="371" ht="16.5" customHeight="1" s="124">
      <c r="A371" s="123">
        <f>[1]預算內選單資料來源!A371</f>
        <v/>
      </c>
      <c r="B371" s="260">
        <f>[1]預算內選單資料來源!B371</f>
        <v/>
      </c>
      <c r="C371" s="260">
        <f>[1]預算內選單資料來源!C371</f>
        <v/>
      </c>
      <c r="D371" s="260">
        <f>[1]預算內選單資料來源!D371</f>
        <v/>
      </c>
      <c r="E371" s="260">
        <f>[1]預算內選單資料來源!E371</f>
        <v/>
      </c>
      <c r="F371" s="260">
        <f>[1]預算內選單資料來源!F371</f>
        <v/>
      </c>
      <c r="G371" s="260">
        <f>[1]預算內選單資料來源!G371</f>
        <v/>
      </c>
      <c r="H371" s="260">
        <f>[1]預算內選單資料來源!H371</f>
        <v/>
      </c>
      <c r="I371" s="260">
        <f>[1]預算內選單資料來源!I371</f>
        <v/>
      </c>
      <c r="J371" s="260">
        <f>[1]預算內選單資料來源!J371</f>
        <v/>
      </c>
      <c r="K371" s="260">
        <f>[1]預算內選單資料來源!K371</f>
        <v/>
      </c>
      <c r="L371" s="260">
        <f>[1]預算內選單資料來源!L371</f>
        <v/>
      </c>
    </row>
    <row r="372" ht="16.5" customHeight="1" s="124">
      <c r="A372" s="123">
        <f>[1]預算內選單資料來源!A372</f>
        <v/>
      </c>
      <c r="B372" s="260">
        <f>[1]預算內選單資料來源!B372</f>
        <v/>
      </c>
      <c r="C372" s="260">
        <f>[1]預算內選單資料來源!C372</f>
        <v/>
      </c>
      <c r="D372" s="260">
        <f>[1]預算內選單資料來源!D372</f>
        <v/>
      </c>
      <c r="E372" s="260">
        <f>[1]預算內選單資料來源!E372</f>
        <v/>
      </c>
      <c r="F372" s="260">
        <f>[1]預算內選單資料來源!F372</f>
        <v/>
      </c>
      <c r="G372" s="260">
        <f>[1]預算內選單資料來源!G372</f>
        <v/>
      </c>
      <c r="H372" s="260">
        <f>[1]預算內選單資料來源!H372</f>
        <v/>
      </c>
      <c r="I372" s="260">
        <f>[1]預算內選單資料來源!I372</f>
        <v/>
      </c>
      <c r="J372" s="260">
        <f>[1]預算內選單資料來源!J372</f>
        <v/>
      </c>
      <c r="K372" s="260">
        <f>[1]預算內選單資料來源!K372</f>
        <v/>
      </c>
      <c r="L372" s="260">
        <f>[1]預算內選單資料來源!L372</f>
        <v/>
      </c>
    </row>
    <row r="373" ht="16.5" customHeight="1" s="124">
      <c r="A373" s="123">
        <f>[1]預算內選單資料來源!A373</f>
        <v/>
      </c>
      <c r="B373" s="260">
        <f>[1]預算內選單資料來源!B373</f>
        <v/>
      </c>
      <c r="C373" s="260">
        <f>[1]預算內選單資料來源!C373</f>
        <v/>
      </c>
      <c r="D373" s="260">
        <f>[1]預算內選單資料來源!D373</f>
        <v/>
      </c>
      <c r="E373" s="260">
        <f>[1]預算內選單資料來源!E373</f>
        <v/>
      </c>
      <c r="F373" s="260">
        <f>[1]預算內選單資料來源!F373</f>
        <v/>
      </c>
      <c r="G373" s="260">
        <f>[1]預算內選單資料來源!G373</f>
        <v/>
      </c>
      <c r="H373" s="260">
        <f>[1]預算內選單資料來源!H373</f>
        <v/>
      </c>
      <c r="I373" s="260">
        <f>[1]預算內選單資料來源!I373</f>
        <v/>
      </c>
      <c r="J373" s="260">
        <f>[1]預算內選單資料來源!J373</f>
        <v/>
      </c>
      <c r="K373" s="260">
        <f>[1]預算內選單資料來源!K373</f>
        <v/>
      </c>
      <c r="L373" s="260">
        <f>[1]預算內選單資料來源!L373</f>
        <v/>
      </c>
    </row>
    <row r="374" ht="16.5" customHeight="1" s="124">
      <c r="A374" s="123">
        <f>[1]預算內選單資料來源!A374</f>
        <v/>
      </c>
      <c r="B374" s="260">
        <f>[1]預算內選單資料來源!B374</f>
        <v/>
      </c>
      <c r="C374" s="260">
        <f>[1]預算內選單資料來源!C374</f>
        <v/>
      </c>
      <c r="D374" s="260">
        <f>[1]預算內選單資料來源!D374</f>
        <v/>
      </c>
      <c r="E374" s="260">
        <f>[1]預算內選單資料來源!E374</f>
        <v/>
      </c>
      <c r="F374" s="260">
        <f>[1]預算內選單資料來源!F374</f>
        <v/>
      </c>
      <c r="G374" s="260">
        <f>[1]預算內選單資料來源!G374</f>
        <v/>
      </c>
      <c r="H374" s="260">
        <f>[1]預算內選單資料來源!H374</f>
        <v/>
      </c>
      <c r="I374" s="260">
        <f>[1]預算內選單資料來源!I374</f>
        <v/>
      </c>
      <c r="J374" s="260">
        <f>[1]預算內選單資料來源!J374</f>
        <v/>
      </c>
      <c r="K374" s="260">
        <f>[1]預算內選單資料來源!K374</f>
        <v/>
      </c>
      <c r="L374" s="260">
        <f>[1]預算內選單資料來源!L374</f>
        <v/>
      </c>
    </row>
    <row r="375" ht="16.5" customHeight="1" s="124">
      <c r="A375" s="123">
        <f>[1]預算內選單資料來源!A375</f>
        <v/>
      </c>
      <c r="B375" s="260">
        <f>[1]預算內選單資料來源!B375</f>
        <v/>
      </c>
      <c r="C375" s="260">
        <f>[1]預算內選單資料來源!C375</f>
        <v/>
      </c>
      <c r="D375" s="260">
        <f>[1]預算內選單資料來源!D375</f>
        <v/>
      </c>
      <c r="E375" s="260">
        <f>[1]預算內選單資料來源!E375</f>
        <v/>
      </c>
      <c r="F375" s="260">
        <f>[1]預算內選單資料來源!F375</f>
        <v/>
      </c>
      <c r="G375" s="260">
        <f>[1]預算內選單資料來源!G375</f>
        <v/>
      </c>
      <c r="H375" s="260">
        <f>[1]預算內選單資料來源!H375</f>
        <v/>
      </c>
      <c r="I375" s="260">
        <f>[1]預算內選單資料來源!I375</f>
        <v/>
      </c>
      <c r="J375" s="260">
        <f>[1]預算內選單資料來源!J375</f>
        <v/>
      </c>
      <c r="K375" s="260">
        <f>[1]預算內選單資料來源!K375</f>
        <v/>
      </c>
      <c r="L375" s="260">
        <f>[1]預算內選單資料來源!L375</f>
        <v/>
      </c>
    </row>
    <row r="376" ht="16.5" customHeight="1" s="124">
      <c r="A376" s="123">
        <f>[1]預算內選單資料來源!A376</f>
        <v/>
      </c>
      <c r="B376" s="260">
        <f>[1]預算內選單資料來源!B376</f>
        <v/>
      </c>
      <c r="C376" s="260">
        <f>[1]預算內選單資料來源!C376</f>
        <v/>
      </c>
      <c r="D376" s="260">
        <f>[1]預算內選單資料來源!D376</f>
        <v/>
      </c>
      <c r="E376" s="260">
        <f>[1]預算內選單資料來源!E376</f>
        <v/>
      </c>
      <c r="F376" s="260">
        <f>[1]預算內選單資料來源!F376</f>
        <v/>
      </c>
      <c r="G376" s="260">
        <f>[1]預算內選單資料來源!G376</f>
        <v/>
      </c>
      <c r="H376" s="260">
        <f>[1]預算內選單資料來源!H376</f>
        <v/>
      </c>
      <c r="I376" s="260">
        <f>[1]預算內選單資料來源!I376</f>
        <v/>
      </c>
      <c r="J376" s="260">
        <f>[1]預算內選單資料來源!J376</f>
        <v/>
      </c>
      <c r="K376" s="260">
        <f>[1]預算內選單資料來源!K376</f>
        <v/>
      </c>
      <c r="L376" s="260">
        <f>[1]預算內選單資料來源!L376</f>
        <v/>
      </c>
    </row>
    <row r="377" ht="16.5" customHeight="1" s="124">
      <c r="A377" s="123">
        <f>[1]預算內選單資料來源!A377</f>
        <v/>
      </c>
      <c r="B377" s="260">
        <f>[1]預算內選單資料來源!B377</f>
        <v/>
      </c>
      <c r="C377" s="260">
        <f>[1]預算內選單資料來源!C377</f>
        <v/>
      </c>
      <c r="D377" s="260">
        <f>[1]預算內選單資料來源!D377</f>
        <v/>
      </c>
      <c r="E377" s="260">
        <f>[1]預算內選單資料來源!E377</f>
        <v/>
      </c>
      <c r="F377" s="260">
        <f>[1]預算內選單資料來源!F377</f>
        <v/>
      </c>
      <c r="G377" s="260">
        <f>[1]預算內選單資料來源!G377</f>
        <v/>
      </c>
      <c r="H377" s="260">
        <f>[1]預算內選單資料來源!H377</f>
        <v/>
      </c>
      <c r="I377" s="260">
        <f>[1]預算內選單資料來源!I377</f>
        <v/>
      </c>
      <c r="J377" s="260">
        <f>[1]預算內選單資料來源!J377</f>
        <v/>
      </c>
      <c r="K377" s="260">
        <f>[1]預算內選單資料來源!K377</f>
        <v/>
      </c>
      <c r="L377" s="260">
        <f>[1]預算內選單資料來源!L377</f>
        <v/>
      </c>
    </row>
    <row r="378" ht="16.5" customHeight="1" s="124">
      <c r="A378" s="123">
        <f>[1]預算內選單資料來源!A378</f>
        <v/>
      </c>
      <c r="B378" s="260">
        <f>[1]預算內選單資料來源!B378</f>
        <v/>
      </c>
      <c r="C378" s="260">
        <f>[1]預算內選單資料來源!C378</f>
        <v/>
      </c>
      <c r="D378" s="260">
        <f>[1]預算內選單資料來源!D378</f>
        <v/>
      </c>
      <c r="E378" s="260">
        <f>[1]預算內選單資料來源!E378</f>
        <v/>
      </c>
      <c r="F378" s="260">
        <f>[1]預算內選單資料來源!F378</f>
        <v/>
      </c>
      <c r="G378" s="260">
        <f>[1]預算內選單資料來源!G378</f>
        <v/>
      </c>
      <c r="H378" s="260">
        <f>[1]預算內選單資料來源!H378</f>
        <v/>
      </c>
      <c r="I378" s="260">
        <f>[1]預算內選單資料來源!I378</f>
        <v/>
      </c>
      <c r="J378" s="260">
        <f>[1]預算內選單資料來源!J378</f>
        <v/>
      </c>
      <c r="K378" s="260">
        <f>[1]預算內選單資料來源!K378</f>
        <v/>
      </c>
      <c r="L378" s="260">
        <f>[1]預算內選單資料來源!L378</f>
        <v/>
      </c>
    </row>
    <row r="379" ht="16.5" customHeight="1" s="124">
      <c r="A379" s="123">
        <f>[1]預算內選單資料來源!A379</f>
        <v/>
      </c>
      <c r="B379" s="260">
        <f>[1]預算內選單資料來源!B379</f>
        <v/>
      </c>
      <c r="C379" s="260">
        <f>[1]預算內選單資料來源!C379</f>
        <v/>
      </c>
      <c r="D379" s="260">
        <f>[1]預算內選單資料來源!D379</f>
        <v/>
      </c>
      <c r="E379" s="260">
        <f>[1]預算內選單資料來源!E379</f>
        <v/>
      </c>
      <c r="F379" s="260">
        <f>[1]預算內選單資料來源!F379</f>
        <v/>
      </c>
      <c r="G379" s="260">
        <f>[1]預算內選單資料來源!G379</f>
        <v/>
      </c>
      <c r="H379" s="260">
        <f>[1]預算內選單資料來源!H379</f>
        <v/>
      </c>
      <c r="I379" s="260">
        <f>[1]預算內選單資料來源!I379</f>
        <v/>
      </c>
      <c r="J379" s="260">
        <f>[1]預算內選單資料來源!J379</f>
        <v/>
      </c>
      <c r="K379" s="260">
        <f>[1]預算內選單資料來源!K379</f>
        <v/>
      </c>
      <c r="L379" s="260">
        <f>[1]預算內選單資料來源!L379</f>
        <v/>
      </c>
    </row>
    <row r="380" ht="16.5" customHeight="1" s="124">
      <c r="A380" s="123">
        <f>[1]預算內選單資料來源!A380</f>
        <v/>
      </c>
      <c r="B380" s="260">
        <f>[1]預算內選單資料來源!B380</f>
        <v/>
      </c>
      <c r="C380" s="260">
        <f>[1]預算內選單資料來源!C380</f>
        <v/>
      </c>
      <c r="D380" s="260">
        <f>[1]預算內選單資料來源!D380</f>
        <v/>
      </c>
      <c r="E380" s="260">
        <f>[1]預算內選單資料來源!E380</f>
        <v/>
      </c>
      <c r="F380" s="260">
        <f>[1]預算內選單資料來源!F380</f>
        <v/>
      </c>
      <c r="G380" s="260">
        <f>[1]預算內選單資料來源!G380</f>
        <v/>
      </c>
      <c r="H380" s="260">
        <f>[1]預算內選單資料來源!H380</f>
        <v/>
      </c>
      <c r="I380" s="260">
        <f>[1]預算內選單資料來源!I380</f>
        <v/>
      </c>
      <c r="J380" s="260">
        <f>[1]預算內選單資料來源!J380</f>
        <v/>
      </c>
      <c r="K380" s="260">
        <f>[1]預算內選單資料來源!K380</f>
        <v/>
      </c>
      <c r="L380" s="260">
        <f>[1]預算內選單資料來源!L380</f>
        <v/>
      </c>
    </row>
    <row r="381" ht="16.5" customHeight="1" s="124">
      <c r="A381" s="123">
        <f>[1]預算內選單資料來源!A381</f>
        <v/>
      </c>
      <c r="B381" s="260">
        <f>[1]預算內選單資料來源!B381</f>
        <v/>
      </c>
      <c r="C381" s="260">
        <f>[1]預算內選單資料來源!C381</f>
        <v/>
      </c>
      <c r="D381" s="260">
        <f>[1]預算內選單資料來源!D381</f>
        <v/>
      </c>
      <c r="E381" s="260">
        <f>[1]預算內選單資料來源!E381</f>
        <v/>
      </c>
      <c r="F381" s="260">
        <f>[1]預算內選單資料來源!F381</f>
        <v/>
      </c>
      <c r="G381" s="260">
        <f>[1]預算內選單資料來源!G381</f>
        <v/>
      </c>
      <c r="H381" s="260">
        <f>[1]預算內選單資料來源!H381</f>
        <v/>
      </c>
      <c r="I381" s="260">
        <f>[1]預算內選單資料來源!I381</f>
        <v/>
      </c>
      <c r="J381" s="260">
        <f>[1]預算內選單資料來源!J381</f>
        <v/>
      </c>
      <c r="K381" s="260">
        <f>[1]預算內選單資料來源!K381</f>
        <v/>
      </c>
      <c r="L381" s="260">
        <f>[1]預算內選單資料來源!L381</f>
        <v/>
      </c>
    </row>
    <row r="382" ht="16.5" customHeight="1" s="124">
      <c r="A382" s="123">
        <f>[1]預算內選單資料來源!A382</f>
        <v/>
      </c>
      <c r="B382" s="260">
        <f>[1]預算內選單資料來源!B382</f>
        <v/>
      </c>
      <c r="C382" s="260">
        <f>[1]預算內選單資料來源!C382</f>
        <v/>
      </c>
      <c r="D382" s="260">
        <f>[1]預算內選單資料來源!D382</f>
        <v/>
      </c>
      <c r="E382" s="260">
        <f>[1]預算內選單資料來源!E382</f>
        <v/>
      </c>
      <c r="F382" s="260">
        <f>[1]預算內選單資料來源!F382</f>
        <v/>
      </c>
      <c r="G382" s="260">
        <f>[1]預算內選單資料來源!G382</f>
        <v/>
      </c>
      <c r="H382" s="260">
        <f>[1]預算內選單資料來源!H382</f>
        <v/>
      </c>
      <c r="I382" s="260">
        <f>[1]預算內選單資料來源!I382</f>
        <v/>
      </c>
      <c r="J382" s="260">
        <f>[1]預算內選單資料來源!J382</f>
        <v/>
      </c>
      <c r="K382" s="260">
        <f>[1]預算內選單資料來源!K382</f>
        <v/>
      </c>
      <c r="L382" s="260">
        <f>[1]預算內選單資料來源!L382</f>
        <v/>
      </c>
    </row>
    <row r="383" ht="16.5" customHeight="1" s="124">
      <c r="A383" s="123">
        <f>[1]預算內選單資料來源!A383</f>
        <v/>
      </c>
      <c r="B383" s="260">
        <f>[1]預算內選單資料來源!B383</f>
        <v/>
      </c>
      <c r="C383" s="260">
        <f>[1]預算內選單資料來源!C383</f>
        <v/>
      </c>
      <c r="D383" s="260">
        <f>[1]預算內選單資料來源!D383</f>
        <v/>
      </c>
      <c r="E383" s="260">
        <f>[1]預算內選單資料來源!E383</f>
        <v/>
      </c>
      <c r="F383" s="260">
        <f>[1]預算內選單資料來源!F383</f>
        <v/>
      </c>
      <c r="G383" s="260">
        <f>[1]預算內選單資料來源!G383</f>
        <v/>
      </c>
      <c r="H383" s="260">
        <f>[1]預算內選單資料來源!H383</f>
        <v/>
      </c>
      <c r="I383" s="260">
        <f>[1]預算內選單資料來源!I383</f>
        <v/>
      </c>
      <c r="J383" s="260">
        <f>[1]預算內選單資料來源!J383</f>
        <v/>
      </c>
      <c r="K383" s="260">
        <f>[1]預算內選單資料來源!K383</f>
        <v/>
      </c>
      <c r="L383" s="260">
        <f>[1]預算內選單資料來源!L383</f>
        <v/>
      </c>
    </row>
    <row r="384" ht="16.5" customHeight="1" s="124">
      <c r="A384" s="123">
        <f>[1]預算內選單資料來源!A384</f>
        <v/>
      </c>
      <c r="B384" s="260">
        <f>[1]預算內選單資料來源!B384</f>
        <v/>
      </c>
      <c r="C384" s="260">
        <f>[1]預算內選單資料來源!C384</f>
        <v/>
      </c>
      <c r="D384" s="260">
        <f>[1]預算內選單資料來源!D384</f>
        <v/>
      </c>
      <c r="E384" s="260">
        <f>[1]預算內選單資料來源!E384</f>
        <v/>
      </c>
      <c r="F384" s="260">
        <f>[1]預算內選單資料來源!F384</f>
        <v/>
      </c>
      <c r="G384" s="260">
        <f>[1]預算內選單資料來源!G384</f>
        <v/>
      </c>
      <c r="H384" s="260">
        <f>[1]預算內選單資料來源!H384</f>
        <v/>
      </c>
      <c r="I384" s="260">
        <f>[1]預算內選單資料來源!I384</f>
        <v/>
      </c>
      <c r="J384" s="260">
        <f>[1]預算內選單資料來源!J384</f>
        <v/>
      </c>
      <c r="K384" s="260">
        <f>[1]預算內選單資料來源!K384</f>
        <v/>
      </c>
      <c r="L384" s="260">
        <f>[1]預算內選單資料來源!L384</f>
        <v/>
      </c>
    </row>
    <row r="385" ht="16.5" customHeight="1" s="124">
      <c r="A385" s="123">
        <f>[1]預算內選單資料來源!A385</f>
        <v/>
      </c>
      <c r="B385" s="260">
        <f>[1]預算內選單資料來源!B385</f>
        <v/>
      </c>
      <c r="C385" s="260">
        <f>[1]預算內選單資料來源!C385</f>
        <v/>
      </c>
      <c r="D385" s="260">
        <f>[1]預算內選單資料來源!D385</f>
        <v/>
      </c>
      <c r="E385" s="260">
        <f>[1]預算內選單資料來源!E385</f>
        <v/>
      </c>
      <c r="F385" s="260">
        <f>[1]預算內選單資料來源!F385</f>
        <v/>
      </c>
      <c r="G385" s="260">
        <f>[1]預算內選單資料來源!G385</f>
        <v/>
      </c>
      <c r="H385" s="260">
        <f>[1]預算內選單資料來源!H385</f>
        <v/>
      </c>
      <c r="I385" s="260">
        <f>[1]預算內選單資料來源!I385</f>
        <v/>
      </c>
      <c r="J385" s="260">
        <f>[1]預算內選單資料來源!J385</f>
        <v/>
      </c>
      <c r="K385" s="260">
        <f>[1]預算內選單資料來源!K385</f>
        <v/>
      </c>
      <c r="L385" s="260">
        <f>[1]預算內選單資料來源!L385</f>
        <v/>
      </c>
    </row>
    <row r="386" ht="16.5" customHeight="1" s="124">
      <c r="A386" s="123">
        <f>[1]預算內選單資料來源!A386</f>
        <v/>
      </c>
      <c r="B386" s="260">
        <f>[1]預算內選單資料來源!B386</f>
        <v/>
      </c>
      <c r="C386" s="260">
        <f>[1]預算內選單資料來源!C386</f>
        <v/>
      </c>
      <c r="D386" s="260">
        <f>[1]預算內選單資料來源!D386</f>
        <v/>
      </c>
      <c r="E386" s="260">
        <f>[1]預算內選單資料來源!E386</f>
        <v/>
      </c>
      <c r="F386" s="260">
        <f>[1]預算內選單資料來源!F386</f>
        <v/>
      </c>
      <c r="G386" s="260">
        <f>[1]預算內選單資料來源!G386</f>
        <v/>
      </c>
      <c r="H386" s="260">
        <f>[1]預算內選單資料來源!H386</f>
        <v/>
      </c>
      <c r="I386" s="260">
        <f>[1]預算內選單資料來源!I386</f>
        <v/>
      </c>
      <c r="J386" s="260">
        <f>[1]預算內選單資料來源!J386</f>
        <v/>
      </c>
      <c r="K386" s="260">
        <f>[1]預算內選單資料來源!K386</f>
        <v/>
      </c>
      <c r="L386" s="260">
        <f>[1]預算內選單資料來源!L386</f>
        <v/>
      </c>
    </row>
    <row r="387" ht="16.5" customHeight="1" s="124">
      <c r="A387" s="123">
        <f>[1]預算內選單資料來源!A387</f>
        <v/>
      </c>
      <c r="B387" s="260">
        <f>[1]預算內選單資料來源!B387</f>
        <v/>
      </c>
      <c r="C387" s="260">
        <f>[1]預算內選單資料來源!C387</f>
        <v/>
      </c>
      <c r="D387" s="260">
        <f>[1]預算內選單資料來源!D387</f>
        <v/>
      </c>
      <c r="E387" s="260">
        <f>[1]預算內選單資料來源!E387</f>
        <v/>
      </c>
      <c r="F387" s="260">
        <f>[1]預算內選單資料來源!F387</f>
        <v/>
      </c>
      <c r="G387" s="260">
        <f>[1]預算內選單資料來源!G387</f>
        <v/>
      </c>
      <c r="H387" s="260">
        <f>[1]預算內選單資料來源!H387</f>
        <v/>
      </c>
      <c r="I387" s="260">
        <f>[1]預算內選單資料來源!I387</f>
        <v/>
      </c>
      <c r="J387" s="260">
        <f>[1]預算內選單資料來源!J387</f>
        <v/>
      </c>
      <c r="K387" s="260">
        <f>[1]預算內選單資料來源!K387</f>
        <v/>
      </c>
      <c r="L387" s="260">
        <f>[1]預算內選單資料來源!L387</f>
        <v/>
      </c>
    </row>
    <row r="388" ht="16.5" customHeight="1" s="124">
      <c r="A388" s="123">
        <f>[1]預算內選單資料來源!A388</f>
        <v/>
      </c>
      <c r="B388" s="260">
        <f>[1]預算內選單資料來源!B388</f>
        <v/>
      </c>
      <c r="C388" s="260">
        <f>[1]預算內選單資料來源!C388</f>
        <v/>
      </c>
      <c r="D388" s="260">
        <f>[1]預算內選單資料來源!D388</f>
        <v/>
      </c>
      <c r="E388" s="260">
        <f>[1]預算內選單資料來源!E388</f>
        <v/>
      </c>
      <c r="F388" s="260">
        <f>[1]預算內選單資料來源!F388</f>
        <v/>
      </c>
      <c r="G388" s="260">
        <f>[1]預算內選單資料來源!G388</f>
        <v/>
      </c>
      <c r="H388" s="260">
        <f>[1]預算內選單資料來源!H388</f>
        <v/>
      </c>
      <c r="I388" s="260">
        <f>[1]預算內選單資料來源!I388</f>
        <v/>
      </c>
      <c r="J388" s="260">
        <f>[1]預算內選單資料來源!J388</f>
        <v/>
      </c>
      <c r="K388" s="260">
        <f>[1]預算內選單資料來源!K388</f>
        <v/>
      </c>
      <c r="L388" s="260">
        <f>[1]預算內選單資料來源!L388</f>
        <v/>
      </c>
    </row>
    <row r="389" ht="16.5" customHeight="1" s="124">
      <c r="A389" s="123">
        <f>[1]預算內選單資料來源!A389</f>
        <v/>
      </c>
      <c r="B389" s="260">
        <f>[1]預算內選單資料來源!B389</f>
        <v/>
      </c>
      <c r="C389" s="260">
        <f>[1]預算內選單資料來源!C389</f>
        <v/>
      </c>
      <c r="D389" s="260">
        <f>[1]預算內選單資料來源!D389</f>
        <v/>
      </c>
      <c r="E389" s="260">
        <f>[1]預算內選單資料來源!E389</f>
        <v/>
      </c>
      <c r="F389" s="260">
        <f>[1]預算內選單資料來源!F389</f>
        <v/>
      </c>
      <c r="G389" s="260">
        <f>[1]預算內選單資料來源!G389</f>
        <v/>
      </c>
      <c r="H389" s="260">
        <f>[1]預算內選單資料來源!H389</f>
        <v/>
      </c>
      <c r="I389" s="260">
        <f>[1]預算內選單資料來源!I389</f>
        <v/>
      </c>
      <c r="J389" s="260">
        <f>[1]預算內選單資料來源!J389</f>
        <v/>
      </c>
      <c r="K389" s="260">
        <f>[1]預算內選單資料來源!K389</f>
        <v/>
      </c>
      <c r="L389" s="260">
        <f>[1]預算內選單資料來源!L389</f>
        <v/>
      </c>
    </row>
    <row r="390" ht="16.5" customHeight="1" s="124">
      <c r="A390" s="123">
        <f>[1]預算內選單資料來源!A390</f>
        <v/>
      </c>
      <c r="B390" s="260">
        <f>[1]預算內選單資料來源!B390</f>
        <v/>
      </c>
      <c r="C390" s="260">
        <f>[1]預算內選單資料來源!C390</f>
        <v/>
      </c>
      <c r="D390" s="260">
        <f>[1]預算內選單資料來源!D390</f>
        <v/>
      </c>
      <c r="E390" s="260">
        <f>[1]預算內選單資料來源!E390</f>
        <v/>
      </c>
      <c r="F390" s="260">
        <f>[1]預算內選單資料來源!F390</f>
        <v/>
      </c>
      <c r="G390" s="260">
        <f>[1]預算內選單資料來源!G390</f>
        <v/>
      </c>
      <c r="H390" s="260">
        <f>[1]預算內選單資料來源!H390</f>
        <v/>
      </c>
      <c r="I390" s="260">
        <f>[1]預算內選單資料來源!I390</f>
        <v/>
      </c>
      <c r="J390" s="260">
        <f>[1]預算內選單資料來源!J390</f>
        <v/>
      </c>
      <c r="K390" s="260">
        <f>[1]預算內選單資料來源!K390</f>
        <v/>
      </c>
      <c r="L390" s="260">
        <f>[1]預算內選單資料來源!L390</f>
        <v/>
      </c>
    </row>
    <row r="391" ht="16.5" customHeight="1" s="124">
      <c r="A391" s="123">
        <f>[1]預算內選單資料來源!A391</f>
        <v/>
      </c>
      <c r="B391" s="260">
        <f>[1]預算內選單資料來源!B391</f>
        <v/>
      </c>
      <c r="C391" s="260">
        <f>[1]預算內選單資料來源!C391</f>
        <v/>
      </c>
      <c r="D391" s="260">
        <f>[1]預算內選單資料來源!D391</f>
        <v/>
      </c>
      <c r="E391" s="260">
        <f>[1]預算內選單資料來源!E391</f>
        <v/>
      </c>
      <c r="F391" s="260">
        <f>[1]預算內選單資料來源!F391</f>
        <v/>
      </c>
      <c r="G391" s="260">
        <f>[1]預算內選單資料來源!G391</f>
        <v/>
      </c>
      <c r="H391" s="260">
        <f>[1]預算內選單資料來源!H391</f>
        <v/>
      </c>
      <c r="I391" s="260">
        <f>[1]預算內選單資料來源!I391</f>
        <v/>
      </c>
      <c r="J391" s="260">
        <f>[1]預算內選單資料來源!J391</f>
        <v/>
      </c>
      <c r="K391" s="260">
        <f>[1]預算內選單資料來源!K391</f>
        <v/>
      </c>
      <c r="L391" s="260">
        <f>[1]預算內選單資料來源!L391</f>
        <v/>
      </c>
    </row>
    <row r="392" ht="16.5" customHeight="1" s="124">
      <c r="A392" s="123">
        <f>[1]預算內選單資料來源!A392</f>
        <v/>
      </c>
      <c r="B392" s="260">
        <f>[1]預算內選單資料來源!B392</f>
        <v/>
      </c>
      <c r="C392" s="260">
        <f>[1]預算內選單資料來源!C392</f>
        <v/>
      </c>
      <c r="D392" s="260">
        <f>[1]預算內選單資料來源!D392</f>
        <v/>
      </c>
      <c r="E392" s="260">
        <f>[1]預算內選單資料來源!E392</f>
        <v/>
      </c>
      <c r="F392" s="260">
        <f>[1]預算內選單資料來源!F392</f>
        <v/>
      </c>
      <c r="G392" s="260">
        <f>[1]預算內選單資料來源!G392</f>
        <v/>
      </c>
      <c r="H392" s="260">
        <f>[1]預算內選單資料來源!H392</f>
        <v/>
      </c>
      <c r="I392" s="260">
        <f>[1]預算內選單資料來源!I392</f>
        <v/>
      </c>
      <c r="J392" s="260">
        <f>[1]預算內選單資料來源!J392</f>
        <v/>
      </c>
      <c r="K392" s="260">
        <f>[1]預算內選單資料來源!K392</f>
        <v/>
      </c>
      <c r="L392" s="260">
        <f>[1]預算內選單資料來源!L392</f>
        <v/>
      </c>
    </row>
    <row r="393" ht="16.5" customHeight="1" s="124">
      <c r="A393" s="123">
        <f>[1]預算內選單資料來源!A393</f>
        <v/>
      </c>
      <c r="B393" s="260">
        <f>[1]預算內選單資料來源!B393</f>
        <v/>
      </c>
      <c r="C393" s="260">
        <f>[1]預算內選單資料來源!C393</f>
        <v/>
      </c>
      <c r="D393" s="260">
        <f>[1]預算內選單資料來源!D393</f>
        <v/>
      </c>
      <c r="E393" s="260">
        <f>[1]預算內選單資料來源!E393</f>
        <v/>
      </c>
      <c r="F393" s="260">
        <f>[1]預算內選單資料來源!F393</f>
        <v/>
      </c>
      <c r="G393" s="260">
        <f>[1]預算內選單資料來源!G393</f>
        <v/>
      </c>
      <c r="H393" s="260">
        <f>[1]預算內選單資料來源!H393</f>
        <v/>
      </c>
      <c r="I393" s="260">
        <f>[1]預算內選單資料來源!I393</f>
        <v/>
      </c>
      <c r="J393" s="260">
        <f>[1]預算內選單資料來源!J393</f>
        <v/>
      </c>
      <c r="K393" s="260">
        <f>[1]預算內選單資料來源!K393</f>
        <v/>
      </c>
      <c r="L393" s="260">
        <f>[1]預算內選單資料來源!L393</f>
        <v/>
      </c>
    </row>
    <row r="394" ht="16.5" customHeight="1" s="124">
      <c r="A394" s="123">
        <f>[1]預算內選單資料來源!A394</f>
        <v/>
      </c>
      <c r="B394" s="260">
        <f>[1]預算內選單資料來源!B394</f>
        <v/>
      </c>
      <c r="C394" s="260">
        <f>[1]預算內選單資料來源!C394</f>
        <v/>
      </c>
      <c r="D394" s="260">
        <f>[1]預算內選單資料來源!D394</f>
        <v/>
      </c>
      <c r="E394" s="260">
        <f>[1]預算內選單資料來源!E394</f>
        <v/>
      </c>
      <c r="F394" s="260">
        <f>[1]預算內選單資料來源!F394</f>
        <v/>
      </c>
      <c r="G394" s="260">
        <f>[1]預算內選單資料來源!G394</f>
        <v/>
      </c>
      <c r="H394" s="260">
        <f>[1]預算內選單資料來源!H394</f>
        <v/>
      </c>
      <c r="I394" s="260">
        <f>[1]預算內選單資料來源!I394</f>
        <v/>
      </c>
      <c r="J394" s="260">
        <f>[1]預算內選單資料來源!J394</f>
        <v/>
      </c>
      <c r="K394" s="260">
        <f>[1]預算內選單資料來源!K394</f>
        <v/>
      </c>
      <c r="L394" s="260">
        <f>[1]預算內選單資料來源!L394</f>
        <v/>
      </c>
    </row>
    <row r="395" ht="16.5" customHeight="1" s="124">
      <c r="A395" s="123">
        <f>[1]預算內選單資料來源!A395</f>
        <v/>
      </c>
      <c r="B395" s="260">
        <f>[1]預算內選單資料來源!B395</f>
        <v/>
      </c>
      <c r="C395" s="260">
        <f>[1]預算內選單資料來源!C395</f>
        <v/>
      </c>
      <c r="D395" s="260">
        <f>[1]預算內選單資料來源!D395</f>
        <v/>
      </c>
      <c r="E395" s="260">
        <f>[1]預算內選單資料來源!E395</f>
        <v/>
      </c>
      <c r="F395" s="260">
        <f>[1]預算內選單資料來源!F395</f>
        <v/>
      </c>
      <c r="G395" s="260">
        <f>[1]預算內選單資料來源!G395</f>
        <v/>
      </c>
      <c r="H395" s="260">
        <f>[1]預算內選單資料來源!H395</f>
        <v/>
      </c>
      <c r="I395" s="260">
        <f>[1]預算內選單資料來源!I395</f>
        <v/>
      </c>
      <c r="J395" s="260">
        <f>[1]預算內選單資料來源!J395</f>
        <v/>
      </c>
      <c r="K395" s="260">
        <f>[1]預算內選單資料來源!K395</f>
        <v/>
      </c>
      <c r="L395" s="260">
        <f>[1]預算內選單資料來源!L395</f>
        <v/>
      </c>
    </row>
    <row r="396" ht="16.5" customHeight="1" s="124">
      <c r="A396" s="123">
        <f>[1]預算內選單資料來源!A396</f>
        <v/>
      </c>
      <c r="B396" s="260">
        <f>[1]預算內選單資料來源!B396</f>
        <v/>
      </c>
      <c r="C396" s="260">
        <f>[1]預算內選單資料來源!C396</f>
        <v/>
      </c>
      <c r="D396" s="260">
        <f>[1]預算內選單資料來源!D396</f>
        <v/>
      </c>
      <c r="E396" s="260">
        <f>[1]預算內選單資料來源!E396</f>
        <v/>
      </c>
      <c r="F396" s="260">
        <f>[1]預算內選單資料來源!F396</f>
        <v/>
      </c>
      <c r="G396" s="260">
        <f>[1]預算內選單資料來源!G396</f>
        <v/>
      </c>
      <c r="H396" s="260">
        <f>[1]預算內選單資料來源!H396</f>
        <v/>
      </c>
      <c r="I396" s="260">
        <f>[1]預算內選單資料來源!I396</f>
        <v/>
      </c>
      <c r="J396" s="260">
        <f>[1]預算內選單資料來源!J396</f>
        <v/>
      </c>
      <c r="K396" s="260">
        <f>[1]預算內選單資料來源!K396</f>
        <v/>
      </c>
      <c r="L396" s="260">
        <f>[1]預算內選單資料來源!L396</f>
        <v/>
      </c>
    </row>
    <row r="397" ht="16.5" customHeight="1" s="124">
      <c r="A397" s="123">
        <f>[1]預算內選單資料來源!A397</f>
        <v/>
      </c>
      <c r="B397" s="260">
        <f>[1]預算內選單資料來源!B397</f>
        <v/>
      </c>
      <c r="C397" s="260">
        <f>[1]預算內選單資料來源!C397</f>
        <v/>
      </c>
      <c r="D397" s="260">
        <f>[1]預算內選單資料來源!D397</f>
        <v/>
      </c>
      <c r="E397" s="260">
        <f>[1]預算內選單資料來源!E397</f>
        <v/>
      </c>
      <c r="F397" s="260">
        <f>[1]預算內選單資料來源!F397</f>
        <v/>
      </c>
      <c r="G397" s="260">
        <f>[1]預算內選單資料來源!G397</f>
        <v/>
      </c>
      <c r="H397" s="260">
        <f>[1]預算內選單資料來源!H397</f>
        <v/>
      </c>
      <c r="I397" s="260">
        <f>[1]預算內選單資料來源!I397</f>
        <v/>
      </c>
      <c r="J397" s="260">
        <f>[1]預算內選單資料來源!J397</f>
        <v/>
      </c>
      <c r="K397" s="260">
        <f>[1]預算內選單資料來源!K397</f>
        <v/>
      </c>
      <c r="L397" s="260">
        <f>[1]預算內選單資料來源!L397</f>
        <v/>
      </c>
    </row>
    <row r="398" ht="16.5" customHeight="1" s="124">
      <c r="A398" s="123">
        <f>[1]預算內選單資料來源!A398</f>
        <v/>
      </c>
      <c r="B398" s="260">
        <f>[1]預算內選單資料來源!B398</f>
        <v/>
      </c>
      <c r="C398" s="260">
        <f>[1]預算內選單資料來源!C398</f>
        <v/>
      </c>
      <c r="D398" s="260">
        <f>[1]預算內選單資料來源!D398</f>
        <v/>
      </c>
      <c r="E398" s="260">
        <f>[1]預算內選單資料來源!E398</f>
        <v/>
      </c>
      <c r="F398" s="260">
        <f>[1]預算內選單資料來源!F398</f>
        <v/>
      </c>
      <c r="G398" s="260">
        <f>[1]預算內選單資料來源!G398</f>
        <v/>
      </c>
      <c r="H398" s="260">
        <f>[1]預算內選單資料來源!H398</f>
        <v/>
      </c>
      <c r="I398" s="260">
        <f>[1]預算內選單資料來源!I398</f>
        <v/>
      </c>
      <c r="J398" s="260">
        <f>[1]預算內選單資料來源!J398</f>
        <v/>
      </c>
      <c r="K398" s="260">
        <f>[1]預算內選單資料來源!K398</f>
        <v/>
      </c>
      <c r="L398" s="260">
        <f>[1]預算內選單資料來源!L398</f>
        <v/>
      </c>
    </row>
    <row r="399" ht="16.5" customHeight="1" s="124">
      <c r="A399" s="123">
        <f>[1]預算內選單資料來源!A399</f>
        <v/>
      </c>
      <c r="B399" s="260">
        <f>[1]預算內選單資料來源!B399</f>
        <v/>
      </c>
      <c r="C399" s="260">
        <f>[1]預算內選單資料來源!C399</f>
        <v/>
      </c>
      <c r="D399" s="260">
        <f>[1]預算內選單資料來源!D399</f>
        <v/>
      </c>
      <c r="E399" s="260">
        <f>[1]預算內選單資料來源!E399</f>
        <v/>
      </c>
      <c r="F399" s="260">
        <f>[1]預算內選單資料來源!F399</f>
        <v/>
      </c>
      <c r="G399" s="260">
        <f>[1]預算內選單資料來源!G399</f>
        <v/>
      </c>
      <c r="H399" s="260">
        <f>[1]預算內選單資料來源!H399</f>
        <v/>
      </c>
      <c r="I399" s="260">
        <f>[1]預算內選單資料來源!I399</f>
        <v/>
      </c>
      <c r="J399" s="260">
        <f>[1]預算內選單資料來源!J399</f>
        <v/>
      </c>
      <c r="K399" s="260">
        <f>[1]預算內選單資料來源!K399</f>
        <v/>
      </c>
      <c r="L399" s="260">
        <f>[1]預算內選單資料來源!L399</f>
        <v/>
      </c>
    </row>
    <row r="400" ht="16.5" customHeight="1" s="124">
      <c r="A400" s="123">
        <f>[1]預算內選單資料來源!A400</f>
        <v/>
      </c>
      <c r="B400" s="260">
        <f>[1]預算內選單資料來源!B400</f>
        <v/>
      </c>
      <c r="C400" s="260">
        <f>[1]預算內選單資料來源!C400</f>
        <v/>
      </c>
      <c r="D400" s="260">
        <f>[1]預算內選單資料來源!D400</f>
        <v/>
      </c>
      <c r="E400" s="260">
        <f>[1]預算內選單資料來源!E400</f>
        <v/>
      </c>
      <c r="F400" s="260">
        <f>[1]預算內選單資料來源!F400</f>
        <v/>
      </c>
      <c r="G400" s="260">
        <f>[1]預算內選單資料來源!G400</f>
        <v/>
      </c>
      <c r="H400" s="260">
        <f>[1]預算內選單資料來源!H400</f>
        <v/>
      </c>
      <c r="I400" s="260">
        <f>[1]預算內選單資料來源!I400</f>
        <v/>
      </c>
      <c r="J400" s="260">
        <f>[1]預算內選單資料來源!J400</f>
        <v/>
      </c>
      <c r="K400" s="260">
        <f>[1]預算內選單資料來源!K400</f>
        <v/>
      </c>
      <c r="L400" s="260">
        <f>[1]預算內選單資料來源!L400</f>
        <v/>
      </c>
    </row>
    <row r="401" ht="16.5" customHeight="1" s="124">
      <c r="A401" s="123">
        <f>[1]預算內選單資料來源!A401</f>
        <v/>
      </c>
      <c r="B401" s="260">
        <f>[1]預算內選單資料來源!B401</f>
        <v/>
      </c>
      <c r="C401" s="260">
        <f/>
        <v/>
      </c>
      <c r="D401" s="260">
        <f/>
        <v/>
      </c>
      <c r="E401" s="260">
        <f/>
        <v/>
      </c>
      <c r="F401" s="260" t="n"/>
      <c r="G401" s="260">
        <f/>
        <v/>
      </c>
      <c r="H401" s="260">
        <f/>
        <v/>
      </c>
      <c r="I401" s="260">
        <f/>
        <v/>
      </c>
      <c r="J401" s="260">
        <f/>
        <v/>
      </c>
      <c r="K401" s="260">
        <f/>
        <v/>
      </c>
      <c r="L401" s="260">
        <f/>
        <v/>
      </c>
    </row>
    <row r="402" ht="16.5" customHeight="1" s="124">
      <c r="A402" s="123">
        <f>[1]預算內選單資料來源!A402</f>
        <v/>
      </c>
      <c r="B402" s="260">
        <f>[1]預算內選單資料來源!B402</f>
        <v/>
      </c>
      <c r="C402" s="260">
        <f/>
        <v/>
      </c>
      <c r="D402" s="260">
        <f/>
        <v/>
      </c>
      <c r="E402" s="260">
        <f/>
        <v/>
      </c>
      <c r="F402" s="260" t="n"/>
      <c r="G402" s="260">
        <f/>
        <v/>
      </c>
      <c r="H402" s="260">
        <f/>
        <v/>
      </c>
      <c r="I402" s="260">
        <f/>
        <v/>
      </c>
      <c r="J402" s="260">
        <f/>
        <v/>
      </c>
      <c r="K402" s="260">
        <f/>
        <v/>
      </c>
      <c r="L402" s="260">
        <f/>
        <v/>
      </c>
    </row>
    <row r="403" ht="16.5" customHeight="1" s="124">
      <c r="A403" s="123">
        <f>[1]預算內選單資料來源!A403</f>
        <v/>
      </c>
      <c r="B403" s="260">
        <f>[1]預算內選單資料來源!B403</f>
        <v/>
      </c>
      <c r="C403" s="260">
        <f/>
        <v/>
      </c>
      <c r="D403" s="260">
        <f/>
        <v/>
      </c>
      <c r="E403" s="260">
        <f/>
        <v/>
      </c>
      <c r="F403" s="260" t="n"/>
      <c r="G403" s="260">
        <f/>
        <v/>
      </c>
      <c r="H403" s="260">
        <f/>
        <v/>
      </c>
      <c r="I403" s="260">
        <f/>
        <v/>
      </c>
      <c r="J403" s="260">
        <f/>
        <v/>
      </c>
      <c r="K403" s="260">
        <f/>
        <v/>
      </c>
      <c r="L403" s="260">
        <f/>
        <v/>
      </c>
    </row>
    <row r="404" ht="16.5" customHeight="1" s="124">
      <c r="A404" s="123">
        <f>[1]預算內選單資料來源!A404</f>
        <v/>
      </c>
      <c r="B404" s="260">
        <f>[1]預算內選單資料來源!B404</f>
        <v/>
      </c>
      <c r="C404" s="260">
        <f/>
        <v/>
      </c>
      <c r="D404" s="260">
        <f/>
        <v/>
      </c>
      <c r="E404" s="260">
        <f/>
        <v/>
      </c>
      <c r="F404" s="260" t="n"/>
      <c r="G404" s="260">
        <f/>
        <v/>
      </c>
      <c r="H404" s="260">
        <f/>
        <v/>
      </c>
      <c r="I404" s="260">
        <f/>
        <v/>
      </c>
      <c r="J404" s="260">
        <f/>
        <v/>
      </c>
      <c r="K404" s="260">
        <f/>
        <v/>
      </c>
      <c r="L404" s="260">
        <f/>
        <v/>
      </c>
    </row>
    <row r="405" ht="16.5" customHeight="1" s="124">
      <c r="A405" s="123">
        <f>[1]預算內選單資料來源!A405</f>
        <v/>
      </c>
      <c r="B405" s="260">
        <f>[1]預算內選單資料來源!B405</f>
        <v/>
      </c>
      <c r="C405" s="260">
        <f/>
        <v/>
      </c>
      <c r="D405" s="260">
        <f/>
        <v/>
      </c>
      <c r="E405" s="260">
        <f/>
        <v/>
      </c>
      <c r="F405" s="260" t="n"/>
      <c r="G405" s="260">
        <f/>
        <v/>
      </c>
      <c r="H405" s="260">
        <f/>
        <v/>
      </c>
      <c r="I405" s="260">
        <f/>
        <v/>
      </c>
      <c r="J405" s="260">
        <f/>
        <v/>
      </c>
      <c r="K405" s="260">
        <f/>
        <v/>
      </c>
      <c r="L405" s="260">
        <f/>
        <v/>
      </c>
    </row>
    <row r="406" ht="16.5" customHeight="1" s="124">
      <c r="A406" s="123">
        <f>[1]預算內選單資料來源!A406</f>
        <v/>
      </c>
      <c r="B406" s="260">
        <f>[1]預算內選單資料來源!B406</f>
        <v/>
      </c>
      <c r="C406" s="260">
        <f/>
        <v/>
      </c>
      <c r="D406" s="260">
        <f/>
        <v/>
      </c>
      <c r="E406" s="260">
        <f/>
        <v/>
      </c>
      <c r="F406" s="260" t="n"/>
      <c r="G406" s="260">
        <f/>
        <v/>
      </c>
      <c r="H406" s="260">
        <f/>
        <v/>
      </c>
      <c r="I406" s="260">
        <f/>
        <v/>
      </c>
      <c r="J406" s="260">
        <f/>
        <v/>
      </c>
      <c r="K406" s="260">
        <f/>
        <v/>
      </c>
      <c r="L406" s="260">
        <f/>
        <v/>
      </c>
    </row>
    <row r="407" ht="16.5" customHeight="1" s="124">
      <c r="A407" s="123">
        <f>[1]預算內選單資料來源!A407</f>
        <v/>
      </c>
      <c r="B407" s="260">
        <f>[1]預算內選單資料來源!B407</f>
        <v/>
      </c>
      <c r="C407" s="260">
        <f/>
        <v/>
      </c>
      <c r="D407" s="260">
        <f/>
        <v/>
      </c>
      <c r="E407" s="260">
        <f/>
        <v/>
      </c>
      <c r="F407" s="260" t="n"/>
      <c r="G407" s="260">
        <f/>
        <v/>
      </c>
      <c r="H407" s="260">
        <f/>
        <v/>
      </c>
      <c r="I407" s="260">
        <f/>
        <v/>
      </c>
      <c r="J407" s="260">
        <f/>
        <v/>
      </c>
      <c r="K407" s="260">
        <f/>
        <v/>
      </c>
      <c r="L407" s="260">
        <f/>
        <v/>
      </c>
    </row>
    <row r="408" ht="16.5" customHeight="1" s="124">
      <c r="A408" s="123">
        <f>[1]預算內選單資料來源!A408</f>
        <v/>
      </c>
      <c r="B408" s="260">
        <f>[1]預算內選單資料來源!B408</f>
        <v/>
      </c>
      <c r="C408" s="260">
        <f/>
        <v/>
      </c>
      <c r="D408" s="260">
        <f/>
        <v/>
      </c>
      <c r="E408" s="260">
        <f/>
        <v/>
      </c>
      <c r="F408" s="260" t="n"/>
      <c r="G408" s="260">
        <f/>
        <v/>
      </c>
      <c r="H408" s="260">
        <f/>
        <v/>
      </c>
      <c r="I408" s="260">
        <f/>
        <v/>
      </c>
      <c r="J408" s="260">
        <f/>
        <v/>
      </c>
      <c r="K408" s="260">
        <f/>
        <v/>
      </c>
      <c r="L408" s="260">
        <f/>
        <v/>
      </c>
    </row>
    <row r="409" ht="16.5" customHeight="1" s="124">
      <c r="A409" s="123">
        <f>[1]預算內選單資料來源!A409</f>
        <v/>
      </c>
      <c r="B409" s="260">
        <f>[1]預算內選單資料來源!B409</f>
        <v/>
      </c>
      <c r="C409" s="260">
        <f/>
        <v/>
      </c>
      <c r="D409" s="260">
        <f/>
        <v/>
      </c>
      <c r="E409" s="260">
        <f/>
        <v/>
      </c>
      <c r="F409" s="260" t="n"/>
      <c r="G409" s="260">
        <f/>
        <v/>
      </c>
      <c r="H409" s="260">
        <f/>
        <v/>
      </c>
      <c r="I409" s="260">
        <f/>
        <v/>
      </c>
      <c r="J409" s="260">
        <f/>
        <v/>
      </c>
      <c r="K409" s="260">
        <f/>
        <v/>
      </c>
      <c r="L409" s="260">
        <f/>
        <v/>
      </c>
    </row>
    <row r="410" ht="16.5" customHeight="1" s="124">
      <c r="A410" s="123">
        <f>[1]預算內選單資料來源!A410</f>
        <v/>
      </c>
      <c r="B410" s="260">
        <f>[1]預算內選單資料來源!B410</f>
        <v/>
      </c>
      <c r="C410" s="260">
        <f/>
        <v/>
      </c>
      <c r="D410" s="260">
        <f/>
        <v/>
      </c>
      <c r="E410" s="260">
        <f/>
        <v/>
      </c>
      <c r="F410" s="260" t="n"/>
      <c r="G410" s="260">
        <f/>
        <v/>
      </c>
      <c r="H410" s="260">
        <f/>
        <v/>
      </c>
      <c r="I410" s="260">
        <f/>
        <v/>
      </c>
      <c r="J410" s="260">
        <f/>
        <v/>
      </c>
      <c r="K410" s="260">
        <f/>
        <v/>
      </c>
      <c r="L410" s="260">
        <f/>
        <v/>
      </c>
    </row>
    <row r="411" ht="16.5" customHeight="1" s="124">
      <c r="A411" s="123">
        <f>[1]預算內選單資料來源!A411</f>
        <v/>
      </c>
      <c r="B411" s="260">
        <f>[1]預算內選單資料來源!B411</f>
        <v/>
      </c>
      <c r="C411" s="260">
        <f/>
        <v/>
      </c>
      <c r="D411" s="260">
        <f/>
        <v/>
      </c>
      <c r="E411" s="260">
        <f/>
        <v/>
      </c>
      <c r="F411" s="260" t="n"/>
      <c r="G411" s="260">
        <f/>
        <v/>
      </c>
      <c r="H411" s="260">
        <f/>
        <v/>
      </c>
      <c r="I411" s="260">
        <f/>
        <v/>
      </c>
      <c r="J411" s="260">
        <f/>
        <v/>
      </c>
      <c r="K411" s="260">
        <f/>
        <v/>
      </c>
      <c r="L411" s="260">
        <f/>
        <v/>
      </c>
    </row>
    <row r="412" ht="16.5" customHeight="1" s="124">
      <c r="A412" s="123">
        <f>[1]預算內選單資料來源!A412</f>
        <v/>
      </c>
      <c r="B412" s="260">
        <f>[1]預算內選單資料來源!B412</f>
        <v/>
      </c>
      <c r="C412" s="260">
        <f/>
        <v/>
      </c>
      <c r="D412" s="260">
        <f/>
        <v/>
      </c>
      <c r="E412" s="260">
        <f/>
        <v/>
      </c>
      <c r="F412" s="260" t="n"/>
      <c r="G412" s="260">
        <f/>
        <v/>
      </c>
      <c r="H412" s="260">
        <f/>
        <v/>
      </c>
      <c r="I412" s="260">
        <f/>
        <v/>
      </c>
      <c r="J412" s="260">
        <f/>
        <v/>
      </c>
      <c r="K412" s="260">
        <f/>
        <v/>
      </c>
      <c r="L412" s="260">
        <f/>
        <v/>
      </c>
    </row>
    <row r="413" ht="16.5" customHeight="1" s="124">
      <c r="A413" s="123">
        <f>[1]預算內選單資料來源!A413</f>
        <v/>
      </c>
      <c r="B413" s="260">
        <f>[1]預算內選單資料來源!B413</f>
        <v/>
      </c>
      <c r="C413" s="260">
        <f/>
        <v/>
      </c>
      <c r="D413" s="260">
        <f/>
        <v/>
      </c>
      <c r="E413" s="260">
        <f/>
        <v/>
      </c>
      <c r="F413" s="260" t="n"/>
      <c r="G413" s="260">
        <f/>
        <v/>
      </c>
      <c r="H413" s="260">
        <f/>
        <v/>
      </c>
      <c r="I413" s="260">
        <f/>
        <v/>
      </c>
      <c r="J413" s="260">
        <f/>
        <v/>
      </c>
      <c r="K413" s="260">
        <f/>
        <v/>
      </c>
      <c r="L413" s="260">
        <f/>
        <v/>
      </c>
    </row>
    <row r="414" ht="16.5" customHeight="1" s="124">
      <c r="A414" s="123">
        <f>[1]預算內選單資料來源!A414</f>
        <v/>
      </c>
      <c r="B414" s="260">
        <f>[1]預算內選單資料來源!B414</f>
        <v/>
      </c>
      <c r="C414" s="260">
        <f/>
        <v/>
      </c>
      <c r="D414" s="260">
        <f/>
        <v/>
      </c>
      <c r="E414" s="260">
        <f/>
        <v/>
      </c>
      <c r="F414" s="260" t="n"/>
      <c r="G414" s="260">
        <f/>
        <v/>
      </c>
      <c r="H414" s="260">
        <f/>
        <v/>
      </c>
      <c r="I414" s="260">
        <f/>
        <v/>
      </c>
      <c r="J414" s="260">
        <f/>
        <v/>
      </c>
      <c r="K414" s="260">
        <f/>
        <v/>
      </c>
      <c r="L414" s="260">
        <f/>
        <v/>
      </c>
    </row>
    <row r="415" ht="16.5" customHeight="1" s="124">
      <c r="A415" s="123">
        <f>[1]預算內選單資料來源!A415</f>
        <v/>
      </c>
      <c r="B415" s="260">
        <f>[1]預算內選單資料來源!B415</f>
        <v/>
      </c>
      <c r="C415" s="260">
        <f/>
        <v/>
      </c>
      <c r="D415" s="260">
        <f/>
        <v/>
      </c>
      <c r="E415" s="260">
        <f/>
        <v/>
      </c>
      <c r="F415" s="260" t="n"/>
      <c r="G415" s="260">
        <f/>
        <v/>
      </c>
      <c r="H415" s="260">
        <f/>
        <v/>
      </c>
      <c r="I415" s="260">
        <f/>
        <v/>
      </c>
      <c r="J415" s="260">
        <f/>
        <v/>
      </c>
      <c r="K415" s="260">
        <f/>
        <v/>
      </c>
      <c r="L415" s="260">
        <f/>
        <v/>
      </c>
    </row>
    <row r="416" ht="16.5" customHeight="1" s="124">
      <c r="A416" s="123">
        <f>[1]預算內選單資料來源!A416</f>
        <v/>
      </c>
      <c r="B416" s="260">
        <f>[1]預算內選單資料來源!B416</f>
        <v/>
      </c>
      <c r="C416" s="260">
        <f/>
        <v/>
      </c>
      <c r="D416" s="260">
        <f/>
        <v/>
      </c>
      <c r="E416" s="260">
        <f/>
        <v/>
      </c>
      <c r="F416" s="260" t="n"/>
      <c r="G416" s="260">
        <f/>
        <v/>
      </c>
      <c r="H416" s="260">
        <f/>
        <v/>
      </c>
      <c r="I416" s="260">
        <f/>
        <v/>
      </c>
      <c r="J416" s="260">
        <f/>
        <v/>
      </c>
      <c r="K416" s="260">
        <f/>
        <v/>
      </c>
      <c r="L416" s="260">
        <f/>
        <v/>
      </c>
    </row>
    <row r="417" ht="16.5" customHeight="1" s="124">
      <c r="A417" s="123">
        <f>[1]預算內選單資料來源!A417</f>
        <v/>
      </c>
      <c r="B417" s="260">
        <f>[1]預算內選單資料來源!B417</f>
        <v/>
      </c>
      <c r="C417" s="260">
        <f/>
        <v/>
      </c>
      <c r="D417" s="260">
        <f/>
        <v/>
      </c>
      <c r="E417" s="260">
        <f/>
        <v/>
      </c>
      <c r="F417" s="260" t="n"/>
      <c r="G417" s="260">
        <f/>
        <v/>
      </c>
      <c r="H417" s="260">
        <f/>
        <v/>
      </c>
      <c r="I417" s="260">
        <f/>
        <v/>
      </c>
      <c r="J417" s="260">
        <f/>
        <v/>
      </c>
      <c r="K417" s="260">
        <f/>
        <v/>
      </c>
      <c r="L417" s="260">
        <f/>
        <v/>
      </c>
    </row>
    <row r="418" ht="16.5" customHeight="1" s="124">
      <c r="A418" s="123">
        <f>[1]預算內選單資料來源!A418</f>
        <v/>
      </c>
      <c r="B418" s="260">
        <f>[1]預算內選單資料來源!B418</f>
        <v/>
      </c>
      <c r="C418" s="260">
        <f/>
        <v/>
      </c>
      <c r="D418" s="260">
        <f/>
        <v/>
      </c>
      <c r="E418" s="260">
        <f/>
        <v/>
      </c>
      <c r="F418" s="260" t="n"/>
      <c r="G418" s="260">
        <f/>
        <v/>
      </c>
      <c r="H418" s="260">
        <f/>
        <v/>
      </c>
      <c r="I418" s="260">
        <f/>
        <v/>
      </c>
      <c r="J418" s="260">
        <f/>
        <v/>
      </c>
      <c r="K418" s="260">
        <f/>
        <v/>
      </c>
      <c r="L418" s="260">
        <f/>
        <v/>
      </c>
    </row>
    <row r="419" ht="16.5" customHeight="1" s="124">
      <c r="A419" s="123">
        <f>[1]預算內選單資料來源!A419</f>
        <v/>
      </c>
      <c r="B419" s="260">
        <f>[1]預算內選單資料來源!B419</f>
        <v/>
      </c>
      <c r="C419" s="260">
        <f/>
        <v/>
      </c>
      <c r="D419" s="260">
        <f/>
        <v/>
      </c>
      <c r="E419" s="260">
        <f/>
        <v/>
      </c>
      <c r="F419" s="260" t="n"/>
      <c r="G419" s="260">
        <f/>
        <v/>
      </c>
      <c r="H419" s="260">
        <f/>
        <v/>
      </c>
      <c r="I419" s="260">
        <f/>
        <v/>
      </c>
      <c r="J419" s="260">
        <f/>
        <v/>
      </c>
      <c r="K419" s="260">
        <f/>
        <v/>
      </c>
      <c r="L419" s="260">
        <f/>
        <v/>
      </c>
    </row>
    <row r="420" ht="16.5" customHeight="1" s="124">
      <c r="A420" s="123">
        <f>[1]預算內選單資料來源!A420</f>
        <v/>
      </c>
      <c r="B420" s="260">
        <f>[1]預算內選單資料來源!B420</f>
        <v/>
      </c>
      <c r="C420" s="260">
        <f/>
        <v/>
      </c>
      <c r="D420" s="260">
        <f/>
        <v/>
      </c>
      <c r="E420" s="260">
        <f/>
        <v/>
      </c>
      <c r="F420" s="260" t="n"/>
      <c r="G420" s="260">
        <f/>
        <v/>
      </c>
      <c r="H420" s="260">
        <f/>
        <v/>
      </c>
      <c r="I420" s="260">
        <f/>
        <v/>
      </c>
      <c r="J420" s="260">
        <f/>
        <v/>
      </c>
      <c r="K420" s="260">
        <f/>
        <v/>
      </c>
      <c r="L420" s="260">
        <f/>
        <v/>
      </c>
    </row>
    <row r="421" ht="16.5" customHeight="1" s="124">
      <c r="A421" s="123">
        <f>[1]預算內選單資料來源!A421</f>
        <v/>
      </c>
      <c r="B421" s="260">
        <f>[1]預算內選單資料來源!B421</f>
        <v/>
      </c>
      <c r="C421" s="260">
        <f/>
        <v/>
      </c>
      <c r="D421" s="260">
        <f/>
        <v/>
      </c>
      <c r="E421" s="260">
        <f/>
        <v/>
      </c>
      <c r="F421" s="260" t="n"/>
      <c r="G421" s="260">
        <f/>
        <v/>
      </c>
      <c r="H421" s="260">
        <f/>
        <v/>
      </c>
      <c r="I421" s="260">
        <f/>
        <v/>
      </c>
      <c r="J421" s="260">
        <f/>
        <v/>
      </c>
      <c r="K421" s="260">
        <f/>
        <v/>
      </c>
      <c r="L421" s="260">
        <f/>
        <v/>
      </c>
    </row>
    <row r="422" ht="16.5" customHeight="1" s="124">
      <c r="A422" s="123">
        <f>[1]預算內選單資料來源!A422</f>
        <v/>
      </c>
      <c r="B422" s="260">
        <f>[1]預算內選單資料來源!B422</f>
        <v/>
      </c>
      <c r="C422" s="260">
        <f/>
        <v/>
      </c>
      <c r="D422" s="260">
        <f/>
        <v/>
      </c>
      <c r="E422" s="260">
        <f/>
        <v/>
      </c>
      <c r="F422" s="260" t="n"/>
      <c r="G422" s="260">
        <f/>
        <v/>
      </c>
      <c r="H422" s="260">
        <f/>
        <v/>
      </c>
      <c r="I422" s="260">
        <f/>
        <v/>
      </c>
      <c r="J422" s="260">
        <f/>
        <v/>
      </c>
      <c r="K422" s="260">
        <f/>
        <v/>
      </c>
      <c r="L422" s="260">
        <f/>
        <v/>
      </c>
    </row>
    <row r="423" ht="16.5" customHeight="1" s="124">
      <c r="A423" s="123">
        <f>[1]預算內選單資料來源!A423</f>
        <v/>
      </c>
      <c r="B423" s="260">
        <f>[1]預算內選單資料來源!B423</f>
        <v/>
      </c>
      <c r="C423" s="260">
        <f/>
        <v/>
      </c>
      <c r="D423" s="260">
        <f/>
        <v/>
      </c>
      <c r="E423" s="260">
        <f/>
        <v/>
      </c>
      <c r="F423" s="260" t="n"/>
      <c r="G423" s="260">
        <f/>
        <v/>
      </c>
      <c r="H423" s="260">
        <f/>
        <v/>
      </c>
      <c r="I423" s="260">
        <f/>
        <v/>
      </c>
      <c r="J423" s="260">
        <f/>
        <v/>
      </c>
      <c r="K423" s="260">
        <f/>
        <v/>
      </c>
      <c r="L423" s="260">
        <f/>
        <v/>
      </c>
    </row>
    <row r="424" ht="16.5" customHeight="1" s="124">
      <c r="A424" s="123">
        <f>[1]預算內選單資料來源!A424</f>
        <v/>
      </c>
      <c r="B424" s="260">
        <f>[1]預算內選單資料來源!B424</f>
        <v/>
      </c>
      <c r="C424" s="260">
        <f/>
        <v/>
      </c>
      <c r="D424" s="260">
        <f/>
        <v/>
      </c>
      <c r="E424" s="260">
        <f/>
        <v/>
      </c>
      <c r="F424" s="260" t="n"/>
      <c r="G424" s="260">
        <f/>
        <v/>
      </c>
      <c r="H424" s="260">
        <f/>
        <v/>
      </c>
      <c r="I424" s="260">
        <f/>
        <v/>
      </c>
      <c r="J424" s="260">
        <f/>
        <v/>
      </c>
      <c r="K424" s="260">
        <f/>
        <v/>
      </c>
      <c r="L424" s="260">
        <f/>
        <v/>
      </c>
    </row>
    <row r="425" ht="16.5" customHeight="1" s="124">
      <c r="A425" s="123">
        <f>[1]預算內選單資料來源!A425</f>
        <v/>
      </c>
      <c r="B425" s="260">
        <f>[1]預算內選單資料來源!B425</f>
        <v/>
      </c>
      <c r="C425" s="260">
        <f/>
        <v/>
      </c>
      <c r="D425" s="260">
        <f/>
        <v/>
      </c>
      <c r="E425" s="260">
        <f/>
        <v/>
      </c>
      <c r="F425" s="260" t="n"/>
      <c r="G425" s="260">
        <f/>
        <v/>
      </c>
      <c r="H425" s="260">
        <f/>
        <v/>
      </c>
      <c r="I425" s="260">
        <f/>
        <v/>
      </c>
      <c r="J425" s="260">
        <f/>
        <v/>
      </c>
      <c r="K425" s="260">
        <f/>
        <v/>
      </c>
      <c r="L425" s="260">
        <f/>
        <v/>
      </c>
    </row>
    <row r="426" ht="16.5" customHeight="1" s="124">
      <c r="A426" s="123">
        <f>[1]預算內選單資料來源!A426</f>
        <v/>
      </c>
      <c r="B426" s="260">
        <f>[1]預算內選單資料來源!B426</f>
        <v/>
      </c>
      <c r="C426" s="260">
        <f/>
        <v/>
      </c>
      <c r="D426" s="260">
        <f/>
        <v/>
      </c>
      <c r="E426" s="260">
        <f/>
        <v/>
      </c>
      <c r="F426" s="260" t="n"/>
      <c r="G426" s="260">
        <f/>
        <v/>
      </c>
      <c r="H426" s="260">
        <f/>
        <v/>
      </c>
      <c r="I426" s="260">
        <f/>
        <v/>
      </c>
      <c r="J426" s="260">
        <f/>
        <v/>
      </c>
      <c r="K426" s="260">
        <f/>
        <v/>
      </c>
      <c r="L426" s="260">
        <f/>
        <v/>
      </c>
    </row>
    <row r="427" ht="16.5" customHeight="1" s="124">
      <c r="A427" s="123">
        <f>[1]預算內選單資料來源!A427</f>
        <v/>
      </c>
      <c r="B427" s="260">
        <f>[1]預算內選單資料來源!B427</f>
        <v/>
      </c>
      <c r="C427" s="260">
        <f/>
        <v/>
      </c>
      <c r="D427" s="260">
        <f/>
        <v/>
      </c>
      <c r="E427" s="260">
        <f/>
        <v/>
      </c>
      <c r="F427" s="260" t="n"/>
      <c r="G427" s="260">
        <f/>
        <v/>
      </c>
      <c r="H427" s="260">
        <f/>
        <v/>
      </c>
      <c r="I427" s="260">
        <f/>
        <v/>
      </c>
      <c r="J427" s="260">
        <f/>
        <v/>
      </c>
      <c r="K427" s="260">
        <f/>
        <v/>
      </c>
      <c r="L427" s="260">
        <f/>
        <v/>
      </c>
    </row>
    <row r="428" ht="16.5" customHeight="1" s="124">
      <c r="A428" s="123">
        <f>[1]預算內選單資料來源!A428</f>
        <v/>
      </c>
      <c r="B428" s="260">
        <f>[1]預算內選單資料來源!B428</f>
        <v/>
      </c>
      <c r="C428" s="260">
        <f/>
        <v/>
      </c>
      <c r="D428" s="260">
        <f/>
        <v/>
      </c>
      <c r="E428" s="260">
        <f/>
        <v/>
      </c>
      <c r="F428" s="260" t="n"/>
      <c r="G428" s="260">
        <f/>
        <v/>
      </c>
      <c r="H428" s="260">
        <f/>
        <v/>
      </c>
      <c r="I428" s="260">
        <f/>
        <v/>
      </c>
      <c r="J428" s="260">
        <f/>
        <v/>
      </c>
      <c r="K428" s="260">
        <f/>
        <v/>
      </c>
      <c r="L428" s="260">
        <f/>
        <v/>
      </c>
    </row>
    <row r="429" ht="16.5" customHeight="1" s="124">
      <c r="A429" s="123">
        <f>[1]預算內選單資料來源!A429</f>
        <v/>
      </c>
      <c r="B429" s="260">
        <f>[1]預算內選單資料來源!B429</f>
        <v/>
      </c>
      <c r="C429" s="260">
        <f/>
        <v/>
      </c>
      <c r="D429" s="260">
        <f/>
        <v/>
      </c>
      <c r="E429" s="260">
        <f/>
        <v/>
      </c>
      <c r="F429" s="260" t="n"/>
      <c r="G429" s="260">
        <f/>
        <v/>
      </c>
      <c r="H429" s="260">
        <f/>
        <v/>
      </c>
      <c r="I429" s="260">
        <f/>
        <v/>
      </c>
      <c r="J429" s="260">
        <f/>
        <v/>
      </c>
      <c r="K429" s="260">
        <f/>
        <v/>
      </c>
      <c r="L429" s="260">
        <f/>
        <v/>
      </c>
    </row>
    <row r="430" ht="16.5" customHeight="1" s="124">
      <c r="A430" s="123">
        <f>[1]預算內選單資料來源!A430</f>
        <v/>
      </c>
      <c r="B430" s="260">
        <f>[1]預算內選單資料來源!B430</f>
        <v/>
      </c>
      <c r="C430" s="260">
        <f/>
        <v/>
      </c>
      <c r="D430" s="260">
        <f/>
        <v/>
      </c>
      <c r="E430" s="260">
        <f/>
        <v/>
      </c>
      <c r="F430" s="260" t="n"/>
      <c r="G430" s="260">
        <f/>
        <v/>
      </c>
      <c r="H430" s="260">
        <f/>
        <v/>
      </c>
      <c r="I430" s="260">
        <f/>
        <v/>
      </c>
      <c r="J430" s="260">
        <f/>
        <v/>
      </c>
      <c r="K430" s="260">
        <f/>
        <v/>
      </c>
      <c r="L430" s="260">
        <f/>
        <v/>
      </c>
    </row>
    <row r="431" ht="16.5" customHeight="1" s="124">
      <c r="A431" s="123">
        <f>[1]預算內選單資料來源!A431</f>
        <v/>
      </c>
      <c r="B431" s="260">
        <f>[1]預算內選單資料來源!B431</f>
        <v/>
      </c>
      <c r="C431" s="260">
        <f/>
        <v/>
      </c>
      <c r="D431" s="260">
        <f/>
        <v/>
      </c>
      <c r="E431" s="260">
        <f/>
        <v/>
      </c>
      <c r="F431" s="260" t="n"/>
      <c r="G431" s="260">
        <f/>
        <v/>
      </c>
      <c r="H431" s="260">
        <f/>
        <v/>
      </c>
      <c r="I431" s="260">
        <f/>
        <v/>
      </c>
      <c r="J431" s="260">
        <f/>
        <v/>
      </c>
      <c r="K431" s="260">
        <f/>
        <v/>
      </c>
      <c r="L431" s="260">
        <f/>
        <v/>
      </c>
    </row>
    <row r="432" ht="16.5" customHeight="1" s="124">
      <c r="A432" s="123">
        <f>[1]預算內選單資料來源!A432</f>
        <v/>
      </c>
      <c r="B432" s="260">
        <f>[1]預算內選單資料來源!B432</f>
        <v/>
      </c>
      <c r="C432" s="260">
        <f/>
        <v/>
      </c>
      <c r="D432" s="260">
        <f/>
        <v/>
      </c>
      <c r="E432" s="260">
        <f/>
        <v/>
      </c>
      <c r="F432" s="260" t="n"/>
      <c r="G432" s="260">
        <f/>
        <v/>
      </c>
      <c r="H432" s="260">
        <f/>
        <v/>
      </c>
      <c r="I432" s="260">
        <f/>
        <v/>
      </c>
      <c r="J432" s="260">
        <f/>
        <v/>
      </c>
      <c r="K432" s="260">
        <f/>
        <v/>
      </c>
      <c r="L432" s="260">
        <f/>
        <v/>
      </c>
    </row>
    <row r="433" ht="16.5" customHeight="1" s="124">
      <c r="A433" s="123">
        <f>[1]預算內選單資料來源!A433</f>
        <v/>
      </c>
      <c r="B433" s="260">
        <f>[1]預算內選單資料來源!B433</f>
        <v/>
      </c>
      <c r="C433" s="260">
        <f/>
        <v/>
      </c>
      <c r="D433" s="260">
        <f/>
        <v/>
      </c>
      <c r="E433" s="260">
        <f/>
        <v/>
      </c>
      <c r="F433" s="260" t="n"/>
      <c r="G433" s="260">
        <f/>
        <v/>
      </c>
      <c r="H433" s="260">
        <f/>
        <v/>
      </c>
      <c r="I433" s="260">
        <f/>
        <v/>
      </c>
      <c r="J433" s="260">
        <f/>
        <v/>
      </c>
      <c r="K433" s="260">
        <f/>
        <v/>
      </c>
      <c r="L433" s="260">
        <f/>
        <v/>
      </c>
    </row>
    <row r="434" ht="16.5" customHeight="1" s="124">
      <c r="A434" s="123">
        <f>[1]預算內選單資料來源!A434</f>
        <v/>
      </c>
      <c r="B434" s="260">
        <f>[1]預算內選單資料來源!B434</f>
        <v/>
      </c>
      <c r="C434" s="260">
        <f/>
        <v/>
      </c>
      <c r="D434" s="260">
        <f/>
        <v/>
      </c>
      <c r="E434" s="260">
        <f/>
        <v/>
      </c>
      <c r="F434" s="260" t="n"/>
      <c r="G434" s="260">
        <f/>
        <v/>
      </c>
      <c r="H434" s="260">
        <f/>
        <v/>
      </c>
      <c r="I434" s="260">
        <f/>
        <v/>
      </c>
      <c r="J434" s="260">
        <f/>
        <v/>
      </c>
      <c r="K434" s="260">
        <f/>
        <v/>
      </c>
      <c r="L434" s="260">
        <f/>
        <v/>
      </c>
    </row>
    <row r="435" ht="16.5" customHeight="1" s="124">
      <c r="A435" s="123">
        <f>[1]預算內選單資料來源!A435</f>
        <v/>
      </c>
      <c r="B435" s="260">
        <f>[1]預算內選單資料來源!B435</f>
        <v/>
      </c>
      <c r="C435" s="260">
        <f/>
        <v/>
      </c>
      <c r="D435" s="260">
        <f/>
        <v/>
      </c>
      <c r="E435" s="260">
        <f/>
        <v/>
      </c>
      <c r="F435" s="260" t="n"/>
      <c r="G435" s="260">
        <f/>
        <v/>
      </c>
      <c r="H435" s="260">
        <f/>
        <v/>
      </c>
      <c r="I435" s="260">
        <f/>
        <v/>
      </c>
      <c r="J435" s="260">
        <f/>
        <v/>
      </c>
      <c r="K435" s="260">
        <f/>
        <v/>
      </c>
      <c r="L435" s="260">
        <f/>
        <v/>
      </c>
    </row>
    <row r="436" ht="16.5" customHeight="1" s="124">
      <c r="A436" s="123">
        <f>[1]預算內選單資料來源!A436</f>
        <v/>
      </c>
      <c r="B436" s="260">
        <f>[1]預算內選單資料來源!B436</f>
        <v/>
      </c>
      <c r="C436" s="260">
        <f/>
        <v/>
      </c>
      <c r="D436" s="260">
        <f/>
        <v/>
      </c>
      <c r="E436" s="260">
        <f/>
        <v/>
      </c>
      <c r="F436" s="260" t="n"/>
      <c r="G436" s="260">
        <f/>
        <v/>
      </c>
      <c r="H436" s="260">
        <f/>
        <v/>
      </c>
      <c r="I436" s="260">
        <f/>
        <v/>
      </c>
      <c r="J436" s="260">
        <f/>
        <v/>
      </c>
      <c r="K436" s="260">
        <f/>
        <v/>
      </c>
      <c r="L436" s="260">
        <f/>
        <v/>
      </c>
    </row>
    <row r="437" ht="16.5" customHeight="1" s="124">
      <c r="A437" s="123">
        <f>[1]預算內選單資料來源!A437</f>
        <v/>
      </c>
      <c r="B437" s="260">
        <f>[1]預算內選單資料來源!B437</f>
        <v/>
      </c>
      <c r="C437" s="260">
        <f/>
        <v/>
      </c>
      <c r="D437" s="260">
        <f/>
        <v/>
      </c>
      <c r="E437" s="260">
        <f/>
        <v/>
      </c>
      <c r="F437" s="260" t="n"/>
      <c r="G437" s="260">
        <f/>
        <v/>
      </c>
      <c r="H437" s="260">
        <f/>
        <v/>
      </c>
      <c r="I437" s="260">
        <f/>
        <v/>
      </c>
      <c r="J437" s="260">
        <f/>
        <v/>
      </c>
      <c r="K437" s="260">
        <f/>
        <v/>
      </c>
      <c r="L437" s="260">
        <f/>
        <v/>
      </c>
    </row>
    <row r="438" ht="16.5" customHeight="1" s="124">
      <c r="A438" s="123">
        <f>[1]預算內選單資料來源!A438</f>
        <v/>
      </c>
      <c r="B438" s="260">
        <f>[1]預算內選單資料來源!B438</f>
        <v/>
      </c>
      <c r="C438" s="260">
        <f/>
        <v/>
      </c>
      <c r="D438" s="260">
        <f/>
        <v/>
      </c>
      <c r="E438" s="260">
        <f/>
        <v/>
      </c>
      <c r="F438" s="260" t="n"/>
      <c r="G438" s="260">
        <f/>
        <v/>
      </c>
      <c r="H438" s="260">
        <f/>
        <v/>
      </c>
      <c r="I438" s="260">
        <f/>
        <v/>
      </c>
      <c r="J438" s="260">
        <f/>
        <v/>
      </c>
      <c r="K438" s="260">
        <f/>
        <v/>
      </c>
      <c r="L438" s="260">
        <f/>
        <v/>
      </c>
    </row>
    <row r="439" ht="16.5" customHeight="1" s="124">
      <c r="A439" s="123">
        <f>[1]預算內選單資料來源!A439</f>
        <v/>
      </c>
      <c r="B439" s="260">
        <f>[1]預算內選單資料來源!B439</f>
        <v/>
      </c>
      <c r="C439" s="260">
        <f/>
        <v/>
      </c>
      <c r="D439" s="260">
        <f/>
        <v/>
      </c>
      <c r="E439" s="260">
        <f/>
        <v/>
      </c>
      <c r="F439" s="260" t="n"/>
      <c r="G439" s="260">
        <f/>
        <v/>
      </c>
      <c r="H439" s="260">
        <f/>
        <v/>
      </c>
      <c r="I439" s="260">
        <f/>
        <v/>
      </c>
      <c r="J439" s="260">
        <f/>
        <v/>
      </c>
      <c r="K439" s="260">
        <f/>
        <v/>
      </c>
      <c r="L439" s="260">
        <f/>
        <v/>
      </c>
    </row>
    <row r="440" ht="16.5" customHeight="1" s="124">
      <c r="A440" s="123">
        <f>[1]預算內選單資料來源!A440</f>
        <v/>
      </c>
      <c r="B440" s="260">
        <f>[1]預算內選單資料來源!B440</f>
        <v/>
      </c>
      <c r="C440" s="260">
        <f/>
        <v/>
      </c>
      <c r="D440" s="260">
        <f/>
        <v/>
      </c>
      <c r="E440" s="260">
        <f/>
        <v/>
      </c>
      <c r="F440" s="260" t="n"/>
      <c r="G440" s="260">
        <f/>
        <v/>
      </c>
      <c r="H440" s="260">
        <f/>
        <v/>
      </c>
      <c r="I440" s="260">
        <f/>
        <v/>
      </c>
      <c r="J440" s="260">
        <f/>
        <v/>
      </c>
      <c r="K440" s="260">
        <f/>
        <v/>
      </c>
      <c r="L440" s="260">
        <f/>
        <v/>
      </c>
    </row>
    <row r="441" ht="16.5" customHeight="1" s="124">
      <c r="A441" s="123">
        <f>[1]預算內選單資料來源!A441</f>
        <v/>
      </c>
      <c r="B441" s="260">
        <f>[1]預算內選單資料來源!B441</f>
        <v/>
      </c>
      <c r="C441" s="260">
        <f/>
        <v/>
      </c>
      <c r="D441" s="260">
        <f/>
        <v/>
      </c>
      <c r="E441" s="260">
        <f/>
        <v/>
      </c>
      <c r="F441" s="260" t="n"/>
      <c r="G441" s="260">
        <f/>
        <v/>
      </c>
      <c r="H441" s="260">
        <f/>
        <v/>
      </c>
      <c r="I441" s="260">
        <f/>
        <v/>
      </c>
      <c r="J441" s="260">
        <f/>
        <v/>
      </c>
      <c r="K441" s="260">
        <f/>
        <v/>
      </c>
      <c r="L441" s="260">
        <f/>
        <v/>
      </c>
    </row>
    <row r="442" ht="16.5" customHeight="1" s="124">
      <c r="A442" s="123">
        <f>[1]預算內選單資料來源!A442</f>
        <v/>
      </c>
      <c r="B442" s="260">
        <f>[1]預算內選單資料來源!B442</f>
        <v/>
      </c>
      <c r="C442" s="260">
        <f/>
        <v/>
      </c>
      <c r="D442" s="260">
        <f/>
        <v/>
      </c>
      <c r="E442" s="260">
        <f/>
        <v/>
      </c>
      <c r="F442" s="260" t="n"/>
      <c r="G442" s="260">
        <f/>
        <v/>
      </c>
      <c r="H442" s="260">
        <f/>
        <v/>
      </c>
      <c r="I442" s="260">
        <f/>
        <v/>
      </c>
      <c r="J442" s="260">
        <f/>
        <v/>
      </c>
      <c r="K442" s="260">
        <f/>
        <v/>
      </c>
      <c r="L442" s="260">
        <f/>
        <v/>
      </c>
    </row>
    <row r="443" ht="16.5" customHeight="1" s="124">
      <c r="A443" s="123">
        <f>[1]預算內選單資料來源!A443</f>
        <v/>
      </c>
      <c r="B443" s="260">
        <f>[1]預算內選單資料來源!B443</f>
        <v/>
      </c>
      <c r="C443" s="260">
        <f/>
        <v/>
      </c>
      <c r="D443" s="260">
        <f/>
        <v/>
      </c>
      <c r="E443" s="260">
        <f/>
        <v/>
      </c>
      <c r="F443" s="260" t="n"/>
      <c r="G443" s="260">
        <f/>
        <v/>
      </c>
      <c r="H443" s="260">
        <f/>
        <v/>
      </c>
      <c r="I443" s="260">
        <f/>
        <v/>
      </c>
      <c r="J443" s="260">
        <f/>
        <v/>
      </c>
      <c r="K443" s="260">
        <f/>
        <v/>
      </c>
      <c r="L443" s="260">
        <f/>
        <v/>
      </c>
    </row>
    <row r="444" ht="16.5" customHeight="1" s="124">
      <c r="A444" s="123">
        <f>[1]預算內選單資料來源!A444</f>
        <v/>
      </c>
      <c r="B444" s="260">
        <f>[1]預算內選單資料來源!B444</f>
        <v/>
      </c>
      <c r="C444" s="260">
        <f/>
        <v/>
      </c>
      <c r="D444" s="260">
        <f/>
        <v/>
      </c>
      <c r="E444" s="260">
        <f/>
        <v/>
      </c>
      <c r="F444" s="260" t="n"/>
      <c r="G444" s="260">
        <f/>
        <v/>
      </c>
      <c r="H444" s="260">
        <f/>
        <v/>
      </c>
      <c r="I444" s="260">
        <f/>
        <v/>
      </c>
      <c r="J444" s="260">
        <f/>
        <v/>
      </c>
      <c r="K444" s="260">
        <f/>
        <v/>
      </c>
      <c r="L444" s="260">
        <f/>
        <v/>
      </c>
    </row>
    <row r="445" ht="16.5" customHeight="1" s="124">
      <c r="A445" s="123">
        <f>[1]預算內選單資料來源!A445</f>
        <v/>
      </c>
      <c r="B445" s="260">
        <f>[1]預算內選單資料來源!B445</f>
        <v/>
      </c>
      <c r="C445" s="260">
        <f/>
        <v/>
      </c>
      <c r="D445" s="260">
        <f/>
        <v/>
      </c>
      <c r="E445" s="260">
        <f/>
        <v/>
      </c>
      <c r="F445" s="260" t="n"/>
      <c r="G445" s="260">
        <f/>
        <v/>
      </c>
      <c r="H445" s="260">
        <f/>
        <v/>
      </c>
      <c r="I445" s="260">
        <f/>
        <v/>
      </c>
      <c r="J445" s="260">
        <f/>
        <v/>
      </c>
      <c r="K445" s="260">
        <f/>
        <v/>
      </c>
      <c r="L445" s="260">
        <f/>
        <v/>
      </c>
    </row>
    <row r="446" ht="16.5" customHeight="1" s="124">
      <c r="A446" s="123">
        <f>[1]預算內選單資料來源!A446</f>
        <v/>
      </c>
      <c r="B446" s="260">
        <f>[1]預算內選單資料來源!B446</f>
        <v/>
      </c>
      <c r="C446" s="260">
        <f/>
        <v/>
      </c>
      <c r="D446" s="260">
        <f/>
        <v/>
      </c>
      <c r="E446" s="260">
        <f/>
        <v/>
      </c>
      <c r="F446" s="260" t="n"/>
      <c r="G446" s="260">
        <f/>
        <v/>
      </c>
      <c r="H446" s="260">
        <f/>
        <v/>
      </c>
      <c r="I446" s="260">
        <f/>
        <v/>
      </c>
      <c r="J446" s="260">
        <f/>
        <v/>
      </c>
      <c r="K446" s="260">
        <f/>
        <v/>
      </c>
      <c r="L446" s="260">
        <f/>
        <v/>
      </c>
    </row>
    <row r="447" ht="16.5" customHeight="1" s="124">
      <c r="A447" s="123">
        <f>[1]預算內選單資料來源!A447</f>
        <v/>
      </c>
      <c r="B447" s="260">
        <f>[1]預算內選單資料來源!B447</f>
        <v/>
      </c>
      <c r="C447" s="260">
        <f/>
        <v/>
      </c>
      <c r="D447" s="260">
        <f/>
        <v/>
      </c>
      <c r="E447" s="260">
        <f/>
        <v/>
      </c>
      <c r="F447" s="260" t="n"/>
      <c r="G447" s="260">
        <f/>
        <v/>
      </c>
      <c r="H447" s="260">
        <f/>
        <v/>
      </c>
      <c r="I447" s="260">
        <f/>
        <v/>
      </c>
      <c r="J447" s="260">
        <f/>
        <v/>
      </c>
      <c r="K447" s="260">
        <f/>
        <v/>
      </c>
      <c r="L447" s="260">
        <f/>
        <v/>
      </c>
    </row>
    <row r="448" ht="16.5" customHeight="1" s="124">
      <c r="A448" s="123">
        <f>[1]預算內選單資料來源!A448</f>
        <v/>
      </c>
      <c r="B448" s="260">
        <f>[1]預算內選單資料來源!B448</f>
        <v/>
      </c>
      <c r="C448" s="260">
        <f/>
        <v/>
      </c>
      <c r="D448" s="260">
        <f/>
        <v/>
      </c>
      <c r="E448" s="260">
        <f/>
        <v/>
      </c>
      <c r="F448" s="260" t="n"/>
      <c r="G448" s="260">
        <f/>
        <v/>
      </c>
      <c r="H448" s="260">
        <f/>
        <v/>
      </c>
      <c r="I448" s="260">
        <f/>
        <v/>
      </c>
      <c r="J448" s="260">
        <f/>
        <v/>
      </c>
      <c r="K448" s="260">
        <f/>
        <v/>
      </c>
      <c r="L448" s="260">
        <f/>
        <v/>
      </c>
    </row>
    <row r="449" ht="16.5" customHeight="1" s="124">
      <c r="A449" s="123">
        <f>[1]預算內選單資料來源!A449</f>
        <v/>
      </c>
      <c r="B449" s="260">
        <f>[1]預算內選單資料來源!B449</f>
        <v/>
      </c>
      <c r="C449" s="260">
        <f/>
        <v/>
      </c>
      <c r="D449" s="260">
        <f/>
        <v/>
      </c>
      <c r="E449" s="260">
        <f/>
        <v/>
      </c>
      <c r="F449" s="260" t="n"/>
      <c r="G449" s="260">
        <f/>
        <v/>
      </c>
      <c r="H449" s="260">
        <f/>
        <v/>
      </c>
      <c r="I449" s="260">
        <f/>
        <v/>
      </c>
      <c r="J449" s="260">
        <f/>
        <v/>
      </c>
      <c r="K449" s="260">
        <f/>
        <v/>
      </c>
      <c r="L449" s="260">
        <f/>
        <v/>
      </c>
    </row>
    <row r="450" ht="16.5" customHeight="1" s="124">
      <c r="A450" s="123">
        <f>[1]預算內選單資料來源!A450</f>
        <v/>
      </c>
      <c r="B450" s="260">
        <f>[1]預算內選單資料來源!B450</f>
        <v/>
      </c>
      <c r="C450" s="260">
        <f/>
        <v/>
      </c>
      <c r="D450" s="260">
        <f/>
        <v/>
      </c>
      <c r="E450" s="260">
        <f/>
        <v/>
      </c>
      <c r="F450" s="260" t="n"/>
      <c r="G450" s="260">
        <f/>
        <v/>
      </c>
      <c r="H450" s="260">
        <f/>
        <v/>
      </c>
      <c r="I450" s="260">
        <f/>
        <v/>
      </c>
      <c r="J450" s="260">
        <f/>
        <v/>
      </c>
      <c r="K450" s="260">
        <f/>
        <v/>
      </c>
      <c r="L450" s="260">
        <f/>
        <v/>
      </c>
    </row>
    <row r="451" ht="16.5" customHeight="1" s="124">
      <c r="A451" s="123">
        <f>[1]預算內選單資料來源!A451</f>
        <v/>
      </c>
      <c r="B451" s="260">
        <f>[1]預算內選單資料來源!B451</f>
        <v/>
      </c>
      <c r="C451" s="260">
        <f/>
        <v/>
      </c>
      <c r="D451" s="260">
        <f/>
        <v/>
      </c>
      <c r="E451" s="260">
        <f/>
        <v/>
      </c>
      <c r="F451" s="260" t="n"/>
      <c r="G451" s="260">
        <f/>
        <v/>
      </c>
      <c r="H451" s="260">
        <f/>
        <v/>
      </c>
      <c r="I451" s="260">
        <f/>
        <v/>
      </c>
      <c r="J451" s="260">
        <f/>
        <v/>
      </c>
      <c r="K451" s="260">
        <f/>
        <v/>
      </c>
      <c r="L451" s="260">
        <f/>
        <v/>
      </c>
    </row>
    <row r="452" ht="16.5" customHeight="1" s="124">
      <c r="A452" s="123">
        <f>[1]預算內選單資料來源!A452</f>
        <v/>
      </c>
      <c r="B452" s="260">
        <f>[1]預算內選單資料來源!B452</f>
        <v/>
      </c>
      <c r="C452" s="260">
        <f/>
        <v/>
      </c>
      <c r="D452" s="260">
        <f/>
        <v/>
      </c>
      <c r="E452" s="260">
        <f/>
        <v/>
      </c>
      <c r="F452" s="260" t="n"/>
      <c r="G452" s="260">
        <f/>
        <v/>
      </c>
      <c r="H452" s="260">
        <f/>
        <v/>
      </c>
      <c r="I452" s="260">
        <f/>
        <v/>
      </c>
      <c r="J452" s="260">
        <f/>
        <v/>
      </c>
      <c r="K452" s="260">
        <f/>
        <v/>
      </c>
      <c r="L452" s="260">
        <f/>
        <v/>
      </c>
    </row>
    <row r="453" ht="16.5" customHeight="1" s="124">
      <c r="A453" s="123">
        <f>[1]預算內選單資料來源!A453</f>
        <v/>
      </c>
      <c r="B453" s="260">
        <f>[1]預算內選單資料來源!B453</f>
        <v/>
      </c>
      <c r="C453" s="260">
        <f/>
        <v/>
      </c>
      <c r="D453" s="260">
        <f/>
        <v/>
      </c>
      <c r="E453" s="260">
        <f/>
        <v/>
      </c>
      <c r="F453" s="260" t="n"/>
      <c r="G453" s="260">
        <f/>
        <v/>
      </c>
      <c r="H453" s="260">
        <f/>
        <v/>
      </c>
      <c r="I453" s="260">
        <f/>
        <v/>
      </c>
      <c r="J453" s="260">
        <f/>
        <v/>
      </c>
      <c r="K453" s="260">
        <f/>
        <v/>
      </c>
      <c r="L453" s="260">
        <f/>
        <v/>
      </c>
    </row>
    <row r="454" ht="16.5" customHeight="1" s="124">
      <c r="A454" s="123">
        <f>[1]預算內選單資料來源!A454</f>
        <v/>
      </c>
      <c r="B454" s="260">
        <f>[1]預算內選單資料來源!B454</f>
        <v/>
      </c>
      <c r="C454" s="260">
        <f/>
        <v/>
      </c>
      <c r="D454" s="260">
        <f/>
        <v/>
      </c>
      <c r="E454" s="260">
        <f/>
        <v/>
      </c>
      <c r="F454" s="260" t="n"/>
      <c r="G454" s="260">
        <f/>
        <v/>
      </c>
      <c r="H454" s="260">
        <f/>
        <v/>
      </c>
      <c r="I454" s="260">
        <f/>
        <v/>
      </c>
      <c r="J454" s="260">
        <f/>
        <v/>
      </c>
      <c r="K454" s="260">
        <f/>
        <v/>
      </c>
      <c r="L454" s="260">
        <f/>
        <v/>
      </c>
    </row>
    <row r="455" ht="16.5" customHeight="1" s="124">
      <c r="A455" s="123">
        <f>[1]預算內選單資料來源!A455</f>
        <v/>
      </c>
      <c r="B455" s="260">
        <f>[1]預算內選單資料來源!B455</f>
        <v/>
      </c>
      <c r="C455" s="260">
        <f/>
        <v/>
      </c>
      <c r="D455" s="260">
        <f/>
        <v/>
      </c>
      <c r="E455" s="260">
        <f/>
        <v/>
      </c>
      <c r="F455" s="260" t="n"/>
      <c r="G455" s="260">
        <f/>
        <v/>
      </c>
      <c r="H455" s="260">
        <f/>
        <v/>
      </c>
      <c r="I455" s="260">
        <f/>
        <v/>
      </c>
      <c r="J455" s="260">
        <f/>
        <v/>
      </c>
      <c r="K455" s="260">
        <f/>
        <v/>
      </c>
      <c r="L455" s="260">
        <f/>
        <v/>
      </c>
    </row>
    <row r="456" ht="16.5" customHeight="1" s="124">
      <c r="A456" s="123">
        <f>[1]預算內選單資料來源!A456</f>
        <v/>
      </c>
      <c r="B456" s="260">
        <f>[1]預算內選單資料來源!B456</f>
        <v/>
      </c>
      <c r="C456" s="260">
        <f/>
        <v/>
      </c>
      <c r="D456" s="260">
        <f/>
        <v/>
      </c>
      <c r="E456" s="260">
        <f/>
        <v/>
      </c>
      <c r="F456" s="260" t="n"/>
      <c r="G456" s="260">
        <f/>
        <v/>
      </c>
      <c r="H456" s="260">
        <f/>
        <v/>
      </c>
      <c r="I456" s="260">
        <f/>
        <v/>
      </c>
      <c r="J456" s="260">
        <f/>
        <v/>
      </c>
      <c r="K456" s="260">
        <f/>
        <v/>
      </c>
      <c r="L456" s="260">
        <f/>
        <v/>
      </c>
    </row>
    <row r="457" ht="16.5" customHeight="1" s="124">
      <c r="A457" s="123">
        <f>[1]預算內選單資料來源!A457</f>
        <v/>
      </c>
      <c r="B457" s="260">
        <f>[1]預算內選單資料來源!B457</f>
        <v/>
      </c>
      <c r="C457" s="260">
        <f/>
        <v/>
      </c>
      <c r="D457" s="260">
        <f/>
        <v/>
      </c>
      <c r="E457" s="260">
        <f/>
        <v/>
      </c>
      <c r="F457" s="260" t="n"/>
      <c r="G457" s="260">
        <f/>
        <v/>
      </c>
      <c r="H457" s="260">
        <f/>
        <v/>
      </c>
      <c r="I457" s="260">
        <f/>
        <v/>
      </c>
      <c r="J457" s="260">
        <f/>
        <v/>
      </c>
      <c r="K457" s="260">
        <f/>
        <v/>
      </c>
      <c r="L457" s="260">
        <f/>
        <v/>
      </c>
    </row>
    <row r="458" ht="16.5" customHeight="1" s="124">
      <c r="A458" s="123">
        <f>[1]預算內選單資料來源!A458</f>
        <v/>
      </c>
      <c r="B458" s="260">
        <f>[1]預算內選單資料來源!B458</f>
        <v/>
      </c>
      <c r="C458" s="260">
        <f/>
        <v/>
      </c>
      <c r="D458" s="260">
        <f/>
        <v/>
      </c>
      <c r="E458" s="260">
        <f/>
        <v/>
      </c>
      <c r="F458" s="260" t="n"/>
      <c r="G458" s="260">
        <f/>
        <v/>
      </c>
      <c r="H458" s="260">
        <f/>
        <v/>
      </c>
      <c r="I458" s="260">
        <f/>
        <v/>
      </c>
      <c r="J458" s="260">
        <f/>
        <v/>
      </c>
      <c r="K458" s="260">
        <f/>
        <v/>
      </c>
      <c r="L458" s="260">
        <f/>
        <v/>
      </c>
    </row>
    <row r="459" ht="16.5" customHeight="1" s="124">
      <c r="A459" s="123">
        <f>[1]預算內選單資料來源!A459</f>
        <v/>
      </c>
      <c r="B459" s="260">
        <f>[1]預算內選單資料來源!B459</f>
        <v/>
      </c>
      <c r="C459" s="260">
        <f/>
        <v/>
      </c>
      <c r="D459" s="260">
        <f/>
        <v/>
      </c>
      <c r="E459" s="260">
        <f/>
        <v/>
      </c>
      <c r="F459" s="260" t="n"/>
      <c r="G459" s="260">
        <f/>
        <v/>
      </c>
      <c r="H459" s="260">
        <f/>
        <v/>
      </c>
      <c r="I459" s="260">
        <f/>
        <v/>
      </c>
      <c r="J459" s="260">
        <f/>
        <v/>
      </c>
      <c r="K459" s="260">
        <f/>
        <v/>
      </c>
      <c r="L459" s="260">
        <f/>
        <v/>
      </c>
    </row>
    <row r="460" ht="16.5" customHeight="1" s="124">
      <c r="A460" s="123">
        <f>[1]預算內選單資料來源!A460</f>
        <v/>
      </c>
      <c r="B460" s="260">
        <f>[1]預算內選單資料來源!B460</f>
        <v/>
      </c>
      <c r="C460" s="260">
        <f/>
        <v/>
      </c>
      <c r="D460" s="260">
        <f/>
        <v/>
      </c>
      <c r="E460" s="260">
        <f/>
        <v/>
      </c>
      <c r="F460" s="260" t="n"/>
      <c r="G460" s="260">
        <f/>
        <v/>
      </c>
      <c r="H460" s="260">
        <f/>
        <v/>
      </c>
      <c r="I460" s="260">
        <f/>
        <v/>
      </c>
      <c r="J460" s="260">
        <f/>
        <v/>
      </c>
      <c r="K460" s="260">
        <f/>
        <v/>
      </c>
      <c r="L460" s="260">
        <f/>
        <v/>
      </c>
    </row>
    <row r="461" ht="16.5" customHeight="1" s="124">
      <c r="A461" s="123">
        <f>[1]預算內選單資料來源!A461</f>
        <v/>
      </c>
      <c r="B461" s="260">
        <f>[1]預算內選單資料來源!B461</f>
        <v/>
      </c>
      <c r="C461" s="260">
        <f/>
        <v/>
      </c>
      <c r="D461" s="260">
        <f/>
        <v/>
      </c>
      <c r="E461" s="260">
        <f/>
        <v/>
      </c>
      <c r="F461" s="260" t="n"/>
      <c r="G461" s="260">
        <f/>
        <v/>
      </c>
      <c r="H461" s="260">
        <f/>
        <v/>
      </c>
      <c r="I461" s="260">
        <f/>
        <v/>
      </c>
      <c r="J461" s="260">
        <f/>
        <v/>
      </c>
      <c r="K461" s="260">
        <f/>
        <v/>
      </c>
      <c r="L461" s="260">
        <f/>
        <v/>
      </c>
    </row>
    <row r="462" ht="16.5" customHeight="1" s="124">
      <c r="A462" s="123">
        <f>[1]預算內選單資料來源!A462</f>
        <v/>
      </c>
      <c r="B462" s="260">
        <f>[1]預算內選單資料來源!B462</f>
        <v/>
      </c>
      <c r="C462" s="260">
        <f/>
        <v/>
      </c>
      <c r="D462" s="260">
        <f/>
        <v/>
      </c>
      <c r="E462" s="260">
        <f/>
        <v/>
      </c>
      <c r="F462" s="260" t="n"/>
      <c r="G462" s="260">
        <f/>
        <v/>
      </c>
      <c r="H462" s="260">
        <f/>
        <v/>
      </c>
      <c r="I462" s="260">
        <f/>
        <v/>
      </c>
      <c r="J462" s="260">
        <f/>
        <v/>
      </c>
      <c r="K462" s="260">
        <f/>
        <v/>
      </c>
      <c r="L462" s="260">
        <f/>
        <v/>
      </c>
    </row>
    <row r="463" ht="16.5" customHeight="1" s="124">
      <c r="A463" s="123">
        <f>[1]預算內選單資料來源!A463</f>
        <v/>
      </c>
      <c r="B463" s="260">
        <f>[1]預算內選單資料來源!B463</f>
        <v/>
      </c>
      <c r="C463" s="260">
        <f/>
        <v/>
      </c>
      <c r="D463" s="260">
        <f/>
        <v/>
      </c>
      <c r="E463" s="260">
        <f/>
        <v/>
      </c>
      <c r="F463" s="260" t="n"/>
      <c r="G463" s="260">
        <f/>
        <v/>
      </c>
      <c r="H463" s="260">
        <f/>
        <v/>
      </c>
      <c r="I463" s="260">
        <f/>
        <v/>
      </c>
      <c r="J463" s="260">
        <f/>
        <v/>
      </c>
      <c r="K463" s="260">
        <f/>
        <v/>
      </c>
      <c r="L463" s="260">
        <f/>
        <v/>
      </c>
    </row>
    <row r="464" ht="16.5" customHeight="1" s="124">
      <c r="A464" s="123">
        <f>[1]預算內選單資料來源!A464</f>
        <v/>
      </c>
      <c r="B464" s="260">
        <f>[1]預算內選單資料來源!B464</f>
        <v/>
      </c>
      <c r="C464" s="260">
        <f/>
        <v/>
      </c>
      <c r="D464" s="260">
        <f/>
        <v/>
      </c>
      <c r="E464" s="260">
        <f/>
        <v/>
      </c>
      <c r="F464" s="260" t="n"/>
      <c r="G464" s="260">
        <f/>
        <v/>
      </c>
      <c r="H464" s="260">
        <f/>
        <v/>
      </c>
      <c r="I464" s="260">
        <f/>
        <v/>
      </c>
      <c r="J464" s="260">
        <f/>
        <v/>
      </c>
      <c r="K464" s="260">
        <f/>
        <v/>
      </c>
      <c r="L464" s="260">
        <f/>
        <v/>
      </c>
    </row>
    <row r="465" ht="16.5" customHeight="1" s="124">
      <c r="A465" s="123">
        <f>[1]預算內選單資料來源!A465</f>
        <v/>
      </c>
      <c r="B465" s="260">
        <f>[1]預算內選單資料來源!B465</f>
        <v/>
      </c>
      <c r="C465" s="260">
        <f/>
        <v/>
      </c>
      <c r="D465" s="260">
        <f/>
        <v/>
      </c>
      <c r="E465" s="260">
        <f/>
        <v/>
      </c>
      <c r="F465" s="260" t="n"/>
      <c r="G465" s="260">
        <f/>
        <v/>
      </c>
      <c r="H465" s="260">
        <f/>
        <v/>
      </c>
      <c r="I465" s="260">
        <f/>
        <v/>
      </c>
      <c r="J465" s="260">
        <f/>
        <v/>
      </c>
      <c r="K465" s="260">
        <f/>
        <v/>
      </c>
      <c r="L465" s="260">
        <f/>
        <v/>
      </c>
    </row>
    <row r="466" ht="16.5" customHeight="1" s="124">
      <c r="A466" s="123">
        <f>[1]預算內選單資料來源!A466</f>
        <v/>
      </c>
      <c r="B466" s="260">
        <f>[1]預算內選單資料來源!B466</f>
        <v/>
      </c>
      <c r="C466" s="260">
        <f/>
        <v/>
      </c>
      <c r="D466" s="260">
        <f/>
        <v/>
      </c>
      <c r="E466" s="260">
        <f/>
        <v/>
      </c>
      <c r="F466" s="260" t="n"/>
      <c r="G466" s="260">
        <f/>
        <v/>
      </c>
      <c r="H466" s="260">
        <f/>
        <v/>
      </c>
      <c r="I466" s="260">
        <f/>
        <v/>
      </c>
      <c r="J466" s="260">
        <f/>
        <v/>
      </c>
      <c r="K466" s="260">
        <f/>
        <v/>
      </c>
      <c r="L466" s="260">
        <f/>
        <v/>
      </c>
    </row>
    <row r="467" ht="16.5" customHeight="1" s="124">
      <c r="A467" s="123">
        <f>[1]預算內選單資料來源!A467</f>
        <v/>
      </c>
      <c r="B467" s="260">
        <f>[1]預算內選單資料來源!B467</f>
        <v/>
      </c>
      <c r="C467" s="260">
        <f/>
        <v/>
      </c>
      <c r="D467" s="260">
        <f/>
        <v/>
      </c>
      <c r="E467" s="260">
        <f/>
        <v/>
      </c>
      <c r="F467" s="260" t="n"/>
      <c r="G467" s="260">
        <f/>
        <v/>
      </c>
      <c r="H467" s="260">
        <f/>
        <v/>
      </c>
      <c r="I467" s="260">
        <f/>
        <v/>
      </c>
      <c r="J467" s="260">
        <f/>
        <v/>
      </c>
      <c r="K467" s="260">
        <f/>
        <v/>
      </c>
      <c r="L467" s="260">
        <f/>
        <v/>
      </c>
    </row>
    <row r="468" ht="16.5" customHeight="1" s="124">
      <c r="A468" s="123">
        <f>[1]預算內選單資料來源!A468</f>
        <v/>
      </c>
      <c r="B468" s="260">
        <f>[1]預算內選單資料來源!B468</f>
        <v/>
      </c>
      <c r="C468" s="260">
        <f/>
        <v/>
      </c>
      <c r="D468" s="260">
        <f/>
        <v/>
      </c>
      <c r="E468" s="260">
        <f/>
        <v/>
      </c>
      <c r="F468" s="260" t="n"/>
      <c r="G468" s="260">
        <f/>
        <v/>
      </c>
      <c r="H468" s="260">
        <f/>
        <v/>
      </c>
      <c r="I468" s="260">
        <f/>
        <v/>
      </c>
      <c r="J468" s="260">
        <f/>
        <v/>
      </c>
      <c r="K468" s="260">
        <f/>
        <v/>
      </c>
      <c r="L468" s="260">
        <f/>
        <v/>
      </c>
    </row>
    <row r="469" ht="16.5" customHeight="1" s="124">
      <c r="A469" s="123">
        <f>[1]預算內選單資料來源!A469</f>
        <v/>
      </c>
      <c r="B469" s="260">
        <f>[1]預算內選單資料來源!B469</f>
        <v/>
      </c>
      <c r="C469" s="260">
        <f/>
        <v/>
      </c>
      <c r="D469" s="260">
        <f/>
        <v/>
      </c>
      <c r="E469" s="260">
        <f/>
        <v/>
      </c>
      <c r="F469" s="260" t="n"/>
      <c r="G469" s="260">
        <f/>
        <v/>
      </c>
      <c r="H469" s="260">
        <f/>
        <v/>
      </c>
      <c r="I469" s="260">
        <f/>
        <v/>
      </c>
      <c r="J469" s="260">
        <f/>
        <v/>
      </c>
      <c r="K469" s="260">
        <f/>
        <v/>
      </c>
      <c r="L469" s="260">
        <f/>
        <v/>
      </c>
    </row>
    <row r="470" ht="16.5" customHeight="1" s="124">
      <c r="A470" s="123">
        <f>[1]預算內選單資料來源!A470</f>
        <v/>
      </c>
      <c r="B470" s="260">
        <f>[1]預算內選單資料來源!B470</f>
        <v/>
      </c>
      <c r="C470" s="260">
        <f/>
        <v/>
      </c>
      <c r="D470" s="260">
        <f/>
        <v/>
      </c>
      <c r="E470" s="260">
        <f/>
        <v/>
      </c>
      <c r="F470" s="260" t="n"/>
      <c r="G470" s="260">
        <f/>
        <v/>
      </c>
      <c r="H470" s="260">
        <f/>
        <v/>
      </c>
      <c r="I470" s="260">
        <f/>
        <v/>
      </c>
      <c r="J470" s="260">
        <f/>
        <v/>
      </c>
      <c r="K470" s="260">
        <f/>
        <v/>
      </c>
      <c r="L470" s="260">
        <f/>
        <v/>
      </c>
    </row>
    <row r="471" ht="16.5" customHeight="1" s="124">
      <c r="A471" s="123">
        <f>[1]預算內選單資料來源!A471</f>
        <v/>
      </c>
      <c r="B471" s="260">
        <f>[1]預算內選單資料來源!B471</f>
        <v/>
      </c>
      <c r="C471" s="260">
        <f/>
        <v/>
      </c>
      <c r="D471" s="260">
        <f/>
        <v/>
      </c>
      <c r="E471" s="260">
        <f/>
        <v/>
      </c>
      <c r="F471" s="260" t="n"/>
      <c r="G471" s="260">
        <f/>
        <v/>
      </c>
      <c r="H471" s="260">
        <f/>
        <v/>
      </c>
      <c r="I471" s="260">
        <f/>
        <v/>
      </c>
      <c r="J471" s="260">
        <f/>
        <v/>
      </c>
      <c r="K471" s="260">
        <f/>
        <v/>
      </c>
      <c r="L471" s="260">
        <f/>
        <v/>
      </c>
    </row>
    <row r="472" ht="16.5" customHeight="1" s="124">
      <c r="A472" s="123">
        <f>[1]預算內選單資料來源!A472</f>
        <v/>
      </c>
      <c r="B472" s="260">
        <f>[1]預算內選單資料來源!B472</f>
        <v/>
      </c>
      <c r="C472" s="260">
        <f/>
        <v/>
      </c>
      <c r="D472" s="260">
        <f/>
        <v/>
      </c>
      <c r="E472" s="260">
        <f/>
        <v/>
      </c>
      <c r="F472" s="260" t="n"/>
      <c r="G472" s="260">
        <f/>
        <v/>
      </c>
      <c r="H472" s="260">
        <f/>
        <v/>
      </c>
      <c r="I472" s="260">
        <f/>
        <v/>
      </c>
      <c r="J472" s="260">
        <f/>
        <v/>
      </c>
      <c r="K472" s="260">
        <f/>
        <v/>
      </c>
      <c r="L472" s="260">
        <f/>
        <v/>
      </c>
    </row>
    <row r="473" ht="16.5" customHeight="1" s="124">
      <c r="A473" s="123">
        <f>[1]預算內選單資料來源!A473</f>
        <v/>
      </c>
      <c r="B473" s="260">
        <f>[1]預算內選單資料來源!B473</f>
        <v/>
      </c>
      <c r="C473" s="260">
        <f/>
        <v/>
      </c>
      <c r="D473" s="260">
        <f/>
        <v/>
      </c>
      <c r="E473" s="260">
        <f/>
        <v/>
      </c>
      <c r="F473" s="260" t="n"/>
      <c r="G473" s="260">
        <f/>
        <v/>
      </c>
      <c r="H473" s="260">
        <f/>
        <v/>
      </c>
      <c r="I473" s="260">
        <f/>
        <v/>
      </c>
      <c r="J473" s="260">
        <f/>
        <v/>
      </c>
      <c r="K473" s="260">
        <f/>
        <v/>
      </c>
      <c r="L473" s="260">
        <f/>
        <v/>
      </c>
    </row>
    <row r="474" ht="16.5" customHeight="1" s="124">
      <c r="A474" s="123">
        <f>[1]預算內選單資料來源!A474</f>
        <v/>
      </c>
      <c r="B474" s="260">
        <f>[1]預算內選單資料來源!B474</f>
        <v/>
      </c>
      <c r="C474" s="260">
        <f/>
        <v/>
      </c>
      <c r="D474" s="260">
        <f/>
        <v/>
      </c>
      <c r="E474" s="260">
        <f/>
        <v/>
      </c>
      <c r="F474" s="260" t="n"/>
      <c r="G474" s="260">
        <f/>
        <v/>
      </c>
      <c r="H474" s="260">
        <f/>
        <v/>
      </c>
      <c r="I474" s="260">
        <f/>
        <v/>
      </c>
      <c r="J474" s="260">
        <f/>
        <v/>
      </c>
      <c r="K474" s="260">
        <f/>
        <v/>
      </c>
      <c r="L474" s="260">
        <f/>
        <v/>
      </c>
    </row>
    <row r="475" ht="16.5" customHeight="1" s="124">
      <c r="A475" s="123">
        <f>[1]預算內選單資料來源!A475</f>
        <v/>
      </c>
      <c r="B475" s="260">
        <f>[1]預算內選單資料來源!B475</f>
        <v/>
      </c>
      <c r="C475" s="260">
        <f/>
        <v/>
      </c>
      <c r="D475" s="260">
        <f/>
        <v/>
      </c>
      <c r="E475" s="260">
        <f/>
        <v/>
      </c>
      <c r="F475" s="260" t="n"/>
      <c r="G475" s="260">
        <f/>
        <v/>
      </c>
      <c r="H475" s="260">
        <f/>
        <v/>
      </c>
      <c r="I475" s="260">
        <f/>
        <v/>
      </c>
      <c r="J475" s="260">
        <f/>
        <v/>
      </c>
      <c r="K475" s="260">
        <f/>
        <v/>
      </c>
      <c r="L475" s="260">
        <f/>
        <v/>
      </c>
    </row>
    <row r="476" ht="16.5" customHeight="1" s="124">
      <c r="A476" s="123">
        <f>[1]預算內選單資料來源!A476</f>
        <v/>
      </c>
      <c r="B476" s="260">
        <f>[1]預算內選單資料來源!B476</f>
        <v/>
      </c>
      <c r="C476" s="260">
        <f/>
        <v/>
      </c>
      <c r="D476" s="260">
        <f/>
        <v/>
      </c>
      <c r="E476" s="260">
        <f/>
        <v/>
      </c>
      <c r="F476" s="260" t="n"/>
      <c r="G476" s="260">
        <f/>
        <v/>
      </c>
      <c r="H476" s="260">
        <f/>
        <v/>
      </c>
      <c r="I476" s="260">
        <f/>
        <v/>
      </c>
      <c r="J476" s="260">
        <f/>
        <v/>
      </c>
      <c r="K476" s="260">
        <f/>
        <v/>
      </c>
      <c r="L476" s="260">
        <f/>
        <v/>
      </c>
    </row>
    <row r="477" ht="16.5" customHeight="1" s="124">
      <c r="A477" s="123">
        <f>[1]預算內選單資料來源!A477</f>
        <v/>
      </c>
      <c r="B477" s="260">
        <f>[1]預算內選單資料來源!B477</f>
        <v/>
      </c>
      <c r="C477" s="260">
        <f/>
        <v/>
      </c>
      <c r="D477" s="260">
        <f/>
        <v/>
      </c>
      <c r="E477" s="260">
        <f/>
        <v/>
      </c>
      <c r="F477" s="260" t="n"/>
      <c r="G477" s="260">
        <f/>
        <v/>
      </c>
      <c r="H477" s="260">
        <f/>
        <v/>
      </c>
      <c r="I477" s="260">
        <f/>
        <v/>
      </c>
      <c r="J477" s="260">
        <f/>
        <v/>
      </c>
      <c r="K477" s="260">
        <f/>
        <v/>
      </c>
      <c r="L477" s="260">
        <f/>
        <v/>
      </c>
    </row>
    <row r="478" ht="16.5" customHeight="1" s="124">
      <c r="A478" s="123">
        <f>[1]預算內選單資料來源!A478</f>
        <v/>
      </c>
      <c r="B478" s="260">
        <f>[1]預算內選單資料來源!B478</f>
        <v/>
      </c>
      <c r="C478" s="260">
        <f/>
        <v/>
      </c>
      <c r="D478" s="260">
        <f/>
        <v/>
      </c>
      <c r="E478" s="260">
        <f/>
        <v/>
      </c>
      <c r="F478" s="260" t="n"/>
      <c r="G478" s="260">
        <f/>
        <v/>
      </c>
      <c r="H478" s="260">
        <f/>
        <v/>
      </c>
      <c r="I478" s="260">
        <f/>
        <v/>
      </c>
      <c r="J478" s="260">
        <f/>
        <v/>
      </c>
      <c r="K478" s="260">
        <f/>
        <v/>
      </c>
      <c r="L478" s="260">
        <f/>
        <v/>
      </c>
    </row>
    <row r="479" ht="16.5" customHeight="1" s="124">
      <c r="A479" s="123">
        <f>[1]預算內選單資料來源!A479</f>
        <v/>
      </c>
      <c r="B479" s="260">
        <f>[1]預算內選單資料來源!B479</f>
        <v/>
      </c>
      <c r="C479" s="260">
        <f/>
        <v/>
      </c>
      <c r="D479" s="260">
        <f/>
        <v/>
      </c>
      <c r="E479" s="260">
        <f/>
        <v/>
      </c>
      <c r="F479" s="260" t="n"/>
      <c r="G479" s="260">
        <f/>
        <v/>
      </c>
      <c r="H479" s="260">
        <f/>
        <v/>
      </c>
      <c r="I479" s="260">
        <f/>
        <v/>
      </c>
      <c r="J479" s="260">
        <f/>
        <v/>
      </c>
      <c r="K479" s="260">
        <f/>
        <v/>
      </c>
      <c r="L479" s="260">
        <f/>
        <v/>
      </c>
    </row>
    <row r="480" ht="16.5" customHeight="1" s="124">
      <c r="A480" s="123">
        <f>[1]預算內選單資料來源!A480</f>
        <v/>
      </c>
      <c r="B480" s="260">
        <f>[1]預算內選單資料來源!B480</f>
        <v/>
      </c>
      <c r="C480" s="260">
        <f/>
        <v/>
      </c>
      <c r="D480" s="260">
        <f/>
        <v/>
      </c>
      <c r="E480" s="260">
        <f/>
        <v/>
      </c>
      <c r="F480" s="260" t="n"/>
      <c r="G480" s="260">
        <f/>
        <v/>
      </c>
      <c r="H480" s="260">
        <f/>
        <v/>
      </c>
      <c r="I480" s="260">
        <f/>
        <v/>
      </c>
      <c r="J480" s="260">
        <f/>
        <v/>
      </c>
      <c r="K480" s="260">
        <f/>
        <v/>
      </c>
      <c r="L480" s="260">
        <f/>
        <v/>
      </c>
    </row>
    <row r="481" ht="16.5" customHeight="1" s="124">
      <c r="A481" s="123">
        <f>[1]預算內選單資料來源!A481</f>
        <v/>
      </c>
      <c r="B481" s="260">
        <f>[1]預算內選單資料來源!B481</f>
        <v/>
      </c>
      <c r="C481" s="260">
        <f/>
        <v/>
      </c>
      <c r="D481" s="260">
        <f/>
        <v/>
      </c>
      <c r="E481" s="260">
        <f/>
        <v/>
      </c>
      <c r="F481" s="260" t="n"/>
      <c r="G481" s="260">
        <f/>
        <v/>
      </c>
      <c r="H481" s="260">
        <f/>
        <v/>
      </c>
      <c r="I481" s="260">
        <f/>
        <v/>
      </c>
      <c r="J481" s="260">
        <f/>
        <v/>
      </c>
      <c r="K481" s="260">
        <f/>
        <v/>
      </c>
      <c r="L481" s="260">
        <f/>
        <v/>
      </c>
    </row>
    <row r="482" ht="16.5" customHeight="1" s="124">
      <c r="A482" s="123">
        <f>[1]預算內選單資料來源!A482</f>
        <v/>
      </c>
      <c r="B482" s="260">
        <f>[1]預算內選單資料來源!B482</f>
        <v/>
      </c>
      <c r="C482" s="260">
        <f/>
        <v/>
      </c>
      <c r="D482" s="260">
        <f/>
        <v/>
      </c>
      <c r="E482" s="260">
        <f/>
        <v/>
      </c>
      <c r="F482" s="260" t="n"/>
      <c r="G482" s="260">
        <f/>
        <v/>
      </c>
      <c r="H482" s="260">
        <f/>
        <v/>
      </c>
      <c r="I482" s="260">
        <f/>
        <v/>
      </c>
      <c r="J482" s="260">
        <f/>
        <v/>
      </c>
      <c r="K482" s="260">
        <f/>
        <v/>
      </c>
      <c r="L482" s="260">
        <f/>
        <v/>
      </c>
    </row>
    <row r="483" ht="16.5" customHeight="1" s="124">
      <c r="A483" s="123">
        <f>[1]預算內選單資料來源!A483</f>
        <v/>
      </c>
      <c r="B483" s="260">
        <f>[1]預算內選單資料來源!B483</f>
        <v/>
      </c>
      <c r="C483" s="260">
        <f/>
        <v/>
      </c>
      <c r="D483" s="260">
        <f/>
        <v/>
      </c>
      <c r="E483" s="260">
        <f/>
        <v/>
      </c>
      <c r="F483" s="260" t="n"/>
      <c r="G483" s="260">
        <f/>
        <v/>
      </c>
      <c r="H483" s="260">
        <f/>
        <v/>
      </c>
      <c r="I483" s="260">
        <f/>
        <v/>
      </c>
      <c r="J483" s="260">
        <f/>
        <v/>
      </c>
      <c r="K483" s="260">
        <f/>
        <v/>
      </c>
      <c r="L483" s="260">
        <f/>
        <v/>
      </c>
    </row>
    <row r="484" ht="16.5" customHeight="1" s="124">
      <c r="A484" s="123">
        <f>[1]預算內選單資料來源!A484</f>
        <v/>
      </c>
      <c r="B484" s="260">
        <f>[1]預算內選單資料來源!B484</f>
        <v/>
      </c>
      <c r="C484" s="260">
        <f/>
        <v/>
      </c>
      <c r="D484" s="260">
        <f/>
        <v/>
      </c>
      <c r="E484" s="260">
        <f/>
        <v/>
      </c>
      <c r="F484" s="260" t="n"/>
      <c r="G484" s="260">
        <f/>
        <v/>
      </c>
      <c r="H484" s="260">
        <f/>
        <v/>
      </c>
      <c r="I484" s="260">
        <f/>
        <v/>
      </c>
      <c r="J484" s="260">
        <f/>
        <v/>
      </c>
      <c r="K484" s="260">
        <f/>
        <v/>
      </c>
      <c r="L484" s="260">
        <f/>
        <v/>
      </c>
    </row>
    <row r="485" ht="16.5" customHeight="1" s="124">
      <c r="A485" s="123">
        <f>[1]預算內選單資料來源!A485</f>
        <v/>
      </c>
      <c r="B485" s="260">
        <f>[1]預算內選單資料來源!B485</f>
        <v/>
      </c>
      <c r="C485" s="260">
        <f/>
        <v/>
      </c>
      <c r="D485" s="260">
        <f/>
        <v/>
      </c>
      <c r="E485" s="260">
        <f/>
        <v/>
      </c>
      <c r="F485" s="260" t="n"/>
      <c r="G485" s="260">
        <f/>
        <v/>
      </c>
      <c r="H485" s="260">
        <f/>
        <v/>
      </c>
      <c r="I485" s="260">
        <f/>
        <v/>
      </c>
      <c r="J485" s="260">
        <f/>
        <v/>
      </c>
      <c r="K485" s="260">
        <f/>
        <v/>
      </c>
      <c r="L485" s="260">
        <f/>
        <v/>
      </c>
    </row>
    <row r="486" ht="16.5" customHeight="1" s="124">
      <c r="A486" s="123">
        <f>[1]預算內選單資料來源!A486</f>
        <v/>
      </c>
      <c r="B486" s="260">
        <f>[1]預算內選單資料來源!B486</f>
        <v/>
      </c>
      <c r="C486" s="260">
        <f/>
        <v/>
      </c>
      <c r="D486" s="260">
        <f/>
        <v/>
      </c>
      <c r="E486" s="260">
        <f/>
        <v/>
      </c>
      <c r="F486" s="260" t="n"/>
      <c r="G486" s="260">
        <f/>
        <v/>
      </c>
      <c r="H486" s="260">
        <f/>
        <v/>
      </c>
      <c r="I486" s="260">
        <f/>
        <v/>
      </c>
      <c r="J486" s="260">
        <f/>
        <v/>
      </c>
      <c r="K486" s="260">
        <f/>
        <v/>
      </c>
      <c r="L486" s="260">
        <f/>
        <v/>
      </c>
    </row>
    <row r="487" ht="16.5" customHeight="1" s="124">
      <c r="A487" s="123">
        <f>[1]預算內選單資料來源!A487</f>
        <v/>
      </c>
      <c r="B487" s="260">
        <f>[1]預算內選單資料來源!B487</f>
        <v/>
      </c>
      <c r="C487" s="260">
        <f/>
        <v/>
      </c>
      <c r="D487" s="260">
        <f/>
        <v/>
      </c>
      <c r="E487" s="260">
        <f/>
        <v/>
      </c>
      <c r="F487" s="260" t="n"/>
      <c r="G487" s="260">
        <f/>
        <v/>
      </c>
      <c r="H487" s="260">
        <f/>
        <v/>
      </c>
      <c r="I487" s="260">
        <f/>
        <v/>
      </c>
      <c r="J487" s="260">
        <f/>
        <v/>
      </c>
      <c r="K487" s="260">
        <f/>
        <v/>
      </c>
      <c r="L487" s="260">
        <f/>
        <v/>
      </c>
    </row>
    <row r="488" ht="16.5" customHeight="1" s="124">
      <c r="A488" s="123">
        <f>[1]預算內選單資料來源!A488</f>
        <v/>
      </c>
      <c r="B488" s="260">
        <f>[1]預算內選單資料來源!B488</f>
        <v/>
      </c>
      <c r="C488" s="260">
        <f/>
        <v/>
      </c>
      <c r="D488" s="260">
        <f/>
        <v/>
      </c>
      <c r="E488" s="260">
        <f/>
        <v/>
      </c>
      <c r="F488" s="260" t="n"/>
      <c r="G488" s="260">
        <f/>
        <v/>
      </c>
      <c r="H488" s="260">
        <f/>
        <v/>
      </c>
      <c r="I488" s="260">
        <f/>
        <v/>
      </c>
      <c r="J488" s="260">
        <f/>
        <v/>
      </c>
      <c r="K488" s="260">
        <f/>
        <v/>
      </c>
      <c r="L488" s="260">
        <f/>
        <v/>
      </c>
    </row>
    <row r="489" ht="16.5" customHeight="1" s="124">
      <c r="A489" s="123">
        <f>[1]預算內選單資料來源!A489</f>
        <v/>
      </c>
      <c r="B489" s="260">
        <f>[1]預算內選單資料來源!B489</f>
        <v/>
      </c>
      <c r="C489" s="260">
        <f/>
        <v/>
      </c>
      <c r="D489" s="260">
        <f/>
        <v/>
      </c>
      <c r="E489" s="260">
        <f/>
        <v/>
      </c>
      <c r="F489" s="260" t="n"/>
      <c r="G489" s="260">
        <f/>
        <v/>
      </c>
      <c r="H489" s="260">
        <f/>
        <v/>
      </c>
      <c r="I489" s="260">
        <f/>
        <v/>
      </c>
      <c r="J489" s="260">
        <f/>
        <v/>
      </c>
      <c r="K489" s="260">
        <f/>
        <v/>
      </c>
      <c r="L489" s="260">
        <f/>
        <v/>
      </c>
    </row>
    <row r="490" ht="16.5" customHeight="1" s="124">
      <c r="A490" s="123">
        <f>[1]預算內選單資料來源!A490</f>
        <v/>
      </c>
      <c r="B490" s="260">
        <f>[1]預算內選單資料來源!B490</f>
        <v/>
      </c>
      <c r="C490" s="260">
        <f/>
        <v/>
      </c>
      <c r="D490" s="260">
        <f/>
        <v/>
      </c>
      <c r="E490" s="260">
        <f/>
        <v/>
      </c>
      <c r="F490" s="260" t="n"/>
      <c r="G490" s="260">
        <f/>
        <v/>
      </c>
      <c r="H490" s="260">
        <f/>
        <v/>
      </c>
      <c r="I490" s="260">
        <f/>
        <v/>
      </c>
      <c r="J490" s="260">
        <f/>
        <v/>
      </c>
      <c r="K490" s="260">
        <f/>
        <v/>
      </c>
      <c r="L490" s="260">
        <f/>
        <v/>
      </c>
    </row>
    <row r="491" ht="16.5" customHeight="1" s="124">
      <c r="A491" s="123">
        <f>[1]預算內選單資料來源!A491</f>
        <v/>
      </c>
      <c r="B491" s="260">
        <f>[1]預算內選單資料來源!B491</f>
        <v/>
      </c>
      <c r="C491" s="260">
        <f/>
        <v/>
      </c>
      <c r="D491" s="260">
        <f/>
        <v/>
      </c>
      <c r="E491" s="260">
        <f/>
        <v/>
      </c>
      <c r="F491" s="260" t="n"/>
      <c r="G491" s="260">
        <f/>
        <v/>
      </c>
      <c r="H491" s="260">
        <f/>
        <v/>
      </c>
      <c r="I491" s="260">
        <f/>
        <v/>
      </c>
      <c r="J491" s="260">
        <f/>
        <v/>
      </c>
      <c r="K491" s="260">
        <f/>
        <v/>
      </c>
      <c r="L491" s="260">
        <f/>
        <v/>
      </c>
    </row>
    <row r="492" ht="16.5" customHeight="1" s="124">
      <c r="A492" s="123">
        <f>[1]預算內選單資料來源!A492</f>
        <v/>
      </c>
      <c r="B492" s="260">
        <f>[1]預算內選單資料來源!B492</f>
        <v/>
      </c>
      <c r="C492" s="260">
        <f/>
        <v/>
      </c>
      <c r="D492" s="260">
        <f/>
        <v/>
      </c>
      <c r="E492" s="260">
        <f/>
        <v/>
      </c>
      <c r="F492" s="260" t="n"/>
      <c r="G492" s="260">
        <f/>
        <v/>
      </c>
      <c r="H492" s="260">
        <f/>
        <v/>
      </c>
      <c r="I492" s="260">
        <f/>
        <v/>
      </c>
      <c r="J492" s="260">
        <f/>
        <v/>
      </c>
      <c r="K492" s="260">
        <f/>
        <v/>
      </c>
      <c r="L492" s="260">
        <f/>
        <v/>
      </c>
    </row>
    <row r="493" ht="16.5" customHeight="1" s="124">
      <c r="A493" s="123">
        <f>[1]預算內選單資料來源!A493</f>
        <v/>
      </c>
      <c r="B493" s="260">
        <f>[1]預算內選單資料來源!B493</f>
        <v/>
      </c>
      <c r="C493" s="260">
        <f/>
        <v/>
      </c>
      <c r="D493" s="260">
        <f/>
        <v/>
      </c>
      <c r="E493" s="260">
        <f/>
        <v/>
      </c>
      <c r="F493" s="260" t="n"/>
      <c r="G493" s="260">
        <f/>
        <v/>
      </c>
      <c r="H493" s="260">
        <f/>
        <v/>
      </c>
      <c r="I493" s="260">
        <f/>
        <v/>
      </c>
      <c r="J493" s="260">
        <f/>
        <v/>
      </c>
      <c r="K493" s="260">
        <f/>
        <v/>
      </c>
      <c r="L493" s="260">
        <f/>
        <v/>
      </c>
    </row>
    <row r="494" ht="16.5" customHeight="1" s="124">
      <c r="A494" s="123">
        <f>[1]預算內選單資料來源!A494</f>
        <v/>
      </c>
      <c r="B494" s="260">
        <f>[1]預算內選單資料來源!B494</f>
        <v/>
      </c>
      <c r="C494" s="260">
        <f/>
        <v/>
      </c>
      <c r="D494" s="260">
        <f/>
        <v/>
      </c>
      <c r="E494" s="260">
        <f/>
        <v/>
      </c>
      <c r="F494" s="260" t="n"/>
      <c r="G494" s="260">
        <f/>
        <v/>
      </c>
      <c r="H494" s="260">
        <f/>
        <v/>
      </c>
      <c r="I494" s="260">
        <f/>
        <v/>
      </c>
      <c r="J494" s="260">
        <f/>
        <v/>
      </c>
      <c r="K494" s="260">
        <f/>
        <v/>
      </c>
      <c r="L494" s="260">
        <f/>
        <v/>
      </c>
    </row>
    <row r="495" ht="16.5" customHeight="1" s="124">
      <c r="A495" s="123">
        <f>[1]預算內選單資料來源!A495</f>
        <v/>
      </c>
      <c r="B495" s="260">
        <f>[1]預算內選單資料來源!B495</f>
        <v/>
      </c>
      <c r="C495" s="260">
        <f/>
        <v/>
      </c>
      <c r="D495" s="260">
        <f/>
        <v/>
      </c>
      <c r="E495" s="260">
        <f/>
        <v/>
      </c>
      <c r="F495" s="260" t="n"/>
      <c r="G495" s="260">
        <f/>
        <v/>
      </c>
      <c r="H495" s="260">
        <f/>
        <v/>
      </c>
      <c r="I495" s="260">
        <f/>
        <v/>
      </c>
      <c r="J495" s="260">
        <f/>
        <v/>
      </c>
      <c r="K495" s="260">
        <f/>
        <v/>
      </c>
      <c r="L495" s="260">
        <f/>
        <v/>
      </c>
    </row>
    <row r="496" ht="16.5" customHeight="1" s="124">
      <c r="A496" s="123">
        <f>[1]預算內選單資料來源!A496</f>
        <v/>
      </c>
      <c r="B496" s="260">
        <f>[1]預算內選單資料來源!B496</f>
        <v/>
      </c>
      <c r="C496" s="260">
        <f/>
        <v/>
      </c>
      <c r="D496" s="260">
        <f/>
        <v/>
      </c>
      <c r="E496" s="260">
        <f/>
        <v/>
      </c>
      <c r="F496" s="260" t="n"/>
      <c r="G496" s="260">
        <f/>
        <v/>
      </c>
      <c r="H496" s="260">
        <f/>
        <v/>
      </c>
      <c r="I496" s="260">
        <f/>
        <v/>
      </c>
      <c r="J496" s="260">
        <f/>
        <v/>
      </c>
      <c r="K496" s="260">
        <f/>
        <v/>
      </c>
      <c r="L496" s="260">
        <f/>
        <v/>
      </c>
    </row>
    <row r="497" ht="16.5" customHeight="1" s="124">
      <c r="A497" s="123">
        <f>[1]預算內選單資料來源!A497</f>
        <v/>
      </c>
      <c r="B497" s="260">
        <f>[1]預算內選單資料來源!B497</f>
        <v/>
      </c>
      <c r="C497" s="260">
        <f/>
        <v/>
      </c>
      <c r="D497" s="260">
        <f/>
        <v/>
      </c>
      <c r="E497" s="260">
        <f/>
        <v/>
      </c>
      <c r="F497" s="260" t="n"/>
      <c r="G497" s="260">
        <f/>
        <v/>
      </c>
      <c r="H497" s="260">
        <f/>
        <v/>
      </c>
      <c r="I497" s="260">
        <f/>
        <v/>
      </c>
      <c r="J497" s="260">
        <f/>
        <v/>
      </c>
      <c r="K497" s="260">
        <f/>
        <v/>
      </c>
      <c r="L497" s="260">
        <f/>
        <v/>
      </c>
    </row>
    <row r="498" ht="16.5" customHeight="1" s="124">
      <c r="A498" s="123">
        <f>[1]預算內選單資料來源!A498</f>
        <v/>
      </c>
      <c r="B498" s="260">
        <f>[1]預算內選單資料來源!B498</f>
        <v/>
      </c>
      <c r="C498" s="260">
        <f/>
        <v/>
      </c>
      <c r="D498" s="260">
        <f/>
        <v/>
      </c>
      <c r="E498" s="260">
        <f/>
        <v/>
      </c>
      <c r="F498" s="260" t="n"/>
      <c r="G498" s="260">
        <f/>
        <v/>
      </c>
      <c r="H498" s="260">
        <f/>
        <v/>
      </c>
      <c r="I498" s="260">
        <f/>
        <v/>
      </c>
      <c r="J498" s="260">
        <f/>
        <v/>
      </c>
      <c r="K498" s="260">
        <f/>
        <v/>
      </c>
      <c r="L498" s="260">
        <f/>
        <v/>
      </c>
    </row>
    <row r="499" ht="16.5" customHeight="1" s="124">
      <c r="A499" s="123">
        <f>[1]預算內選單資料來源!A499</f>
        <v/>
      </c>
      <c r="B499" s="260">
        <f>[1]預算內選單資料來源!B499</f>
        <v/>
      </c>
      <c r="C499" s="260">
        <f/>
        <v/>
      </c>
      <c r="D499" s="260">
        <f/>
        <v/>
      </c>
      <c r="E499" s="260">
        <f/>
        <v/>
      </c>
      <c r="F499" s="260" t="n"/>
      <c r="G499" s="260">
        <f/>
        <v/>
      </c>
      <c r="H499" s="260">
        <f/>
        <v/>
      </c>
      <c r="I499" s="260">
        <f/>
        <v/>
      </c>
      <c r="J499" s="260">
        <f/>
        <v/>
      </c>
      <c r="K499" s="260">
        <f/>
        <v/>
      </c>
      <c r="L499" s="260">
        <f/>
        <v/>
      </c>
    </row>
    <row r="500" ht="16.5" customHeight="1" s="124">
      <c r="A500" s="123">
        <f>[1]預算內選單資料來源!A500</f>
        <v/>
      </c>
      <c r="B500" s="260">
        <f>[1]預算內選單資料來源!B500</f>
        <v/>
      </c>
      <c r="C500" s="260">
        <f/>
        <v/>
      </c>
      <c r="D500" s="260">
        <f/>
        <v/>
      </c>
      <c r="E500" s="260">
        <f/>
        <v/>
      </c>
      <c r="F500" s="260" t="n"/>
      <c r="G500" s="260">
        <f/>
        <v/>
      </c>
      <c r="H500" s="260">
        <f/>
        <v/>
      </c>
      <c r="I500" s="260">
        <f/>
        <v/>
      </c>
      <c r="J500" s="260">
        <f/>
        <v/>
      </c>
      <c r="K500" s="260">
        <f/>
        <v/>
      </c>
      <c r="L500" s="260">
        <f/>
        <v/>
      </c>
    </row>
    <row r="501" ht="16.5" customHeight="1" s="124">
      <c r="A501" s="123">
        <f>[1]預算內選單資料來源!A501</f>
        <v/>
      </c>
      <c r="B501" s="260">
        <f>[1]預算內選單資料來源!B501</f>
        <v/>
      </c>
      <c r="C501" s="260">
        <f/>
        <v/>
      </c>
      <c r="D501" s="260">
        <f/>
        <v/>
      </c>
      <c r="E501" s="260">
        <f/>
        <v/>
      </c>
      <c r="F501" s="260" t="n"/>
      <c r="G501" s="260">
        <f/>
        <v/>
      </c>
      <c r="H501" s="260">
        <f/>
        <v/>
      </c>
      <c r="I501" s="260">
        <f/>
        <v/>
      </c>
      <c r="J501" s="260">
        <f/>
        <v/>
      </c>
      <c r="K501" s="260">
        <f/>
        <v/>
      </c>
      <c r="L501" s="260">
        <f/>
        <v/>
      </c>
    </row>
    <row r="502" ht="16.5" customHeight="1" s="124">
      <c r="A502" s="123">
        <f>[1]預算內選單資料來源!A502</f>
        <v/>
      </c>
      <c r="B502" s="260">
        <f>[1]預算內選單資料來源!B502</f>
        <v/>
      </c>
      <c r="C502" s="260">
        <f/>
        <v/>
      </c>
      <c r="D502" s="260">
        <f/>
        <v/>
      </c>
      <c r="E502" s="260">
        <f/>
        <v/>
      </c>
      <c r="F502" s="260" t="n"/>
      <c r="G502" s="260">
        <f/>
        <v/>
      </c>
      <c r="H502" s="260">
        <f/>
        <v/>
      </c>
      <c r="I502" s="260">
        <f/>
        <v/>
      </c>
      <c r="J502" s="260">
        <f/>
        <v/>
      </c>
      <c r="K502" s="260">
        <f/>
        <v/>
      </c>
      <c r="L502" s="260">
        <f/>
        <v/>
      </c>
    </row>
    <row r="503" ht="16.5" customHeight="1" s="124">
      <c r="A503" s="123">
        <f>[1]預算內選單資料來源!A503</f>
        <v/>
      </c>
      <c r="B503" s="260">
        <f>[1]預算內選單資料來源!B503</f>
        <v/>
      </c>
      <c r="C503" s="260">
        <f/>
        <v/>
      </c>
      <c r="D503" s="260">
        <f/>
        <v/>
      </c>
      <c r="E503" s="260">
        <f/>
        <v/>
      </c>
      <c r="F503" s="260" t="n"/>
      <c r="G503" s="260">
        <f/>
        <v/>
      </c>
      <c r="H503" s="260">
        <f/>
        <v/>
      </c>
      <c r="I503" s="260">
        <f/>
        <v/>
      </c>
      <c r="J503" s="260">
        <f/>
        <v/>
      </c>
      <c r="K503" s="260">
        <f/>
        <v/>
      </c>
      <c r="L503" s="260">
        <f/>
        <v/>
      </c>
    </row>
    <row r="504" ht="16.5" customHeight="1" s="124">
      <c r="A504" s="123">
        <f>[1]預算內選單資料來源!A504</f>
        <v/>
      </c>
      <c r="B504" s="260">
        <f>[1]預算內選單資料來源!B504</f>
        <v/>
      </c>
      <c r="C504" s="260">
        <f/>
        <v/>
      </c>
      <c r="D504" s="260">
        <f/>
        <v/>
      </c>
      <c r="E504" s="260">
        <f/>
        <v/>
      </c>
      <c r="F504" s="260" t="n"/>
      <c r="G504" s="260">
        <f/>
        <v/>
      </c>
      <c r="H504" s="260">
        <f/>
        <v/>
      </c>
      <c r="I504" s="260">
        <f/>
        <v/>
      </c>
      <c r="J504" s="260">
        <f/>
        <v/>
      </c>
      <c r="K504" s="260">
        <f/>
        <v/>
      </c>
      <c r="L504" s="260">
        <f/>
        <v/>
      </c>
    </row>
    <row r="505" ht="16.5" customHeight="1" s="124">
      <c r="A505" s="123">
        <f>[1]預算內選單資料來源!A505</f>
        <v/>
      </c>
      <c r="B505" s="260">
        <f>[1]預算內選單資料來源!B505</f>
        <v/>
      </c>
      <c r="C505" s="260">
        <f/>
        <v/>
      </c>
      <c r="D505" s="260">
        <f/>
        <v/>
      </c>
      <c r="E505" s="260">
        <f/>
        <v/>
      </c>
      <c r="F505" s="260" t="n"/>
      <c r="G505" s="260">
        <f/>
        <v/>
      </c>
      <c r="H505" s="260">
        <f/>
        <v/>
      </c>
      <c r="I505" s="260">
        <f/>
        <v/>
      </c>
      <c r="J505" s="260">
        <f/>
        <v/>
      </c>
      <c r="K505" s="260">
        <f/>
        <v/>
      </c>
      <c r="L505" s="260">
        <f/>
        <v/>
      </c>
    </row>
    <row r="506" ht="16.5" customHeight="1" s="124">
      <c r="A506" s="123">
        <f>[1]預算內選單資料來源!A506</f>
        <v/>
      </c>
      <c r="B506" s="260">
        <f>[1]預算內選單資料來源!B506</f>
        <v/>
      </c>
      <c r="C506" s="260">
        <f/>
        <v/>
      </c>
      <c r="D506" s="260">
        <f/>
        <v/>
      </c>
      <c r="E506" s="260">
        <f/>
        <v/>
      </c>
      <c r="F506" s="260" t="n"/>
      <c r="G506" s="260">
        <f/>
        <v/>
      </c>
      <c r="H506" s="260">
        <f/>
        <v/>
      </c>
      <c r="I506" s="260">
        <f/>
        <v/>
      </c>
      <c r="J506" s="260">
        <f/>
        <v/>
      </c>
      <c r="K506" s="260">
        <f/>
        <v/>
      </c>
      <c r="L506" s="260">
        <f/>
        <v/>
      </c>
    </row>
    <row r="507" ht="16.5" customHeight="1" s="124">
      <c r="A507" s="123">
        <f>[1]預算內選單資料來源!A507</f>
        <v/>
      </c>
      <c r="B507" s="260">
        <f>[1]預算內選單資料來源!B507</f>
        <v/>
      </c>
      <c r="C507" s="260">
        <f/>
        <v/>
      </c>
      <c r="D507" s="260">
        <f/>
        <v/>
      </c>
      <c r="E507" s="260">
        <f/>
        <v/>
      </c>
      <c r="F507" s="260" t="n"/>
      <c r="G507" s="260">
        <f/>
        <v/>
      </c>
      <c r="H507" s="260">
        <f/>
        <v/>
      </c>
      <c r="I507" s="260">
        <f/>
        <v/>
      </c>
      <c r="J507" s="260">
        <f/>
        <v/>
      </c>
      <c r="K507" s="260">
        <f/>
        <v/>
      </c>
      <c r="L507" s="260">
        <f/>
        <v/>
      </c>
    </row>
    <row r="508" ht="16.5" customHeight="1" s="124">
      <c r="A508" s="123">
        <f>[1]預算內選單資料來源!A508</f>
        <v/>
      </c>
      <c r="B508" s="260">
        <f>[1]預算內選單資料來源!B508</f>
        <v/>
      </c>
      <c r="C508" s="260">
        <f/>
        <v/>
      </c>
      <c r="D508" s="260">
        <f/>
        <v/>
      </c>
      <c r="E508" s="260">
        <f/>
        <v/>
      </c>
      <c r="F508" s="260" t="n"/>
      <c r="G508" s="260">
        <f/>
        <v/>
      </c>
      <c r="H508" s="260">
        <f/>
        <v/>
      </c>
      <c r="I508" s="260">
        <f/>
        <v/>
      </c>
      <c r="J508" s="260">
        <f/>
        <v/>
      </c>
      <c r="K508" s="260">
        <f/>
        <v/>
      </c>
      <c r="L508" s="260">
        <f/>
        <v/>
      </c>
    </row>
    <row r="509" ht="16.5" customHeight="1" s="124">
      <c r="A509" s="123">
        <f>[1]預算內選單資料來源!A509</f>
        <v/>
      </c>
      <c r="B509" s="260">
        <f>[1]預算內選單資料來源!B509</f>
        <v/>
      </c>
      <c r="C509" s="260">
        <f/>
        <v/>
      </c>
      <c r="D509" s="260">
        <f/>
        <v/>
      </c>
      <c r="E509" s="260">
        <f/>
        <v/>
      </c>
      <c r="F509" s="260" t="n"/>
      <c r="G509" s="260">
        <f/>
        <v/>
      </c>
      <c r="H509" s="260">
        <f/>
        <v/>
      </c>
      <c r="I509" s="260">
        <f/>
        <v/>
      </c>
      <c r="J509" s="260">
        <f/>
        <v/>
      </c>
      <c r="K509" s="260">
        <f/>
        <v/>
      </c>
      <c r="L509" s="260">
        <f/>
        <v/>
      </c>
    </row>
    <row r="510" ht="16.5" customHeight="1" s="124">
      <c r="A510" s="123">
        <f>[1]預算內選單資料來源!A510</f>
        <v/>
      </c>
      <c r="B510" s="260">
        <f>[1]預算內選單資料來源!B510</f>
        <v/>
      </c>
      <c r="C510" s="260">
        <f/>
        <v/>
      </c>
      <c r="D510" s="260">
        <f/>
        <v/>
      </c>
      <c r="E510" s="260">
        <f/>
        <v/>
      </c>
      <c r="F510" s="260" t="n"/>
      <c r="G510" s="260">
        <f/>
        <v/>
      </c>
      <c r="H510" s="260">
        <f/>
        <v/>
      </c>
      <c r="I510" s="260">
        <f/>
        <v/>
      </c>
      <c r="J510" s="260">
        <f/>
        <v/>
      </c>
      <c r="K510" s="260">
        <f/>
        <v/>
      </c>
      <c r="L510" s="260">
        <f/>
        <v/>
      </c>
    </row>
    <row r="511" ht="16.5" customHeight="1" s="124">
      <c r="A511" s="123">
        <f>[1]預算內選單資料來源!A511</f>
        <v/>
      </c>
      <c r="B511" s="260">
        <f>[1]預算內選單資料來源!B511</f>
        <v/>
      </c>
      <c r="C511" s="260">
        <f/>
        <v/>
      </c>
      <c r="D511" s="260">
        <f/>
        <v/>
      </c>
      <c r="E511" s="260">
        <f/>
        <v/>
      </c>
      <c r="F511" s="260" t="n"/>
      <c r="G511" s="260">
        <f/>
        <v/>
      </c>
      <c r="H511" s="260">
        <f/>
        <v/>
      </c>
      <c r="I511" s="260">
        <f/>
        <v/>
      </c>
      <c r="J511" s="260">
        <f/>
        <v/>
      </c>
      <c r="K511" s="260">
        <f/>
        <v/>
      </c>
      <c r="L511" s="260">
        <f/>
        <v/>
      </c>
    </row>
    <row r="512" ht="16.5" customHeight="1" s="124">
      <c r="A512" s="123">
        <f>[1]預算內選單資料來源!A512</f>
        <v/>
      </c>
      <c r="B512" s="260">
        <f>[1]預算內選單資料來源!B512</f>
        <v/>
      </c>
      <c r="C512" s="260">
        <f/>
        <v/>
      </c>
      <c r="D512" s="260">
        <f/>
        <v/>
      </c>
      <c r="E512" s="260">
        <f/>
        <v/>
      </c>
      <c r="F512" s="260" t="n"/>
      <c r="G512" s="260">
        <f/>
        <v/>
      </c>
      <c r="H512" s="260">
        <f/>
        <v/>
      </c>
      <c r="I512" s="260">
        <f/>
        <v/>
      </c>
      <c r="J512" s="260">
        <f/>
        <v/>
      </c>
      <c r="K512" s="260">
        <f/>
        <v/>
      </c>
      <c r="L512" s="260">
        <f/>
        <v/>
      </c>
    </row>
    <row r="513" ht="16.5" customHeight="1" s="124">
      <c r="A513" s="123">
        <f>[1]預算內選單資料來源!A513</f>
        <v/>
      </c>
      <c r="B513" s="260">
        <f>[1]預算內選單資料來源!B513</f>
        <v/>
      </c>
      <c r="C513" s="260">
        <f/>
        <v/>
      </c>
      <c r="D513" s="260">
        <f/>
        <v/>
      </c>
      <c r="E513" s="260">
        <f/>
        <v/>
      </c>
      <c r="F513" s="260" t="n"/>
      <c r="G513" s="260">
        <f/>
        <v/>
      </c>
      <c r="H513" s="260">
        <f/>
        <v/>
      </c>
      <c r="I513" s="260">
        <f/>
        <v/>
      </c>
      <c r="J513" s="260">
        <f/>
        <v/>
      </c>
      <c r="K513" s="260">
        <f/>
        <v/>
      </c>
      <c r="L513" s="260">
        <f/>
        <v/>
      </c>
    </row>
    <row r="514" ht="16.5" customHeight="1" s="124">
      <c r="A514" s="123">
        <f>[1]預算內選單資料來源!A514</f>
        <v/>
      </c>
      <c r="B514" s="260">
        <f>[1]預算內選單資料來源!B514</f>
        <v/>
      </c>
      <c r="C514" s="260">
        <f/>
        <v/>
      </c>
      <c r="D514" s="260">
        <f/>
        <v/>
      </c>
      <c r="E514" s="260">
        <f/>
        <v/>
      </c>
      <c r="F514" s="260" t="n"/>
      <c r="G514" s="260">
        <f/>
        <v/>
      </c>
      <c r="H514" s="260">
        <f/>
        <v/>
      </c>
      <c r="I514" s="260">
        <f/>
        <v/>
      </c>
      <c r="J514" s="260">
        <f/>
        <v/>
      </c>
      <c r="K514" s="260">
        <f/>
        <v/>
      </c>
      <c r="L514" s="260">
        <f/>
        <v/>
      </c>
    </row>
    <row r="515" ht="16.5" customHeight="1" s="124">
      <c r="A515" s="123">
        <f>[1]預算內選單資料來源!A515</f>
        <v/>
      </c>
      <c r="B515" s="260">
        <f>[1]預算內選單資料來源!B515</f>
        <v/>
      </c>
      <c r="C515" s="260">
        <f/>
        <v/>
      </c>
      <c r="D515" s="260">
        <f/>
        <v/>
      </c>
      <c r="E515" s="260">
        <f/>
        <v/>
      </c>
      <c r="F515" s="260" t="n"/>
      <c r="G515" s="260">
        <f/>
        <v/>
      </c>
      <c r="H515" s="260">
        <f/>
        <v/>
      </c>
      <c r="I515" s="260">
        <f/>
        <v/>
      </c>
      <c r="J515" s="260">
        <f/>
        <v/>
      </c>
      <c r="K515" s="260">
        <f/>
        <v/>
      </c>
      <c r="L515" s="260">
        <f/>
        <v/>
      </c>
    </row>
    <row r="516" ht="16.5" customHeight="1" s="124">
      <c r="A516" s="123">
        <f>[1]預算內選單資料來源!A516</f>
        <v/>
      </c>
      <c r="B516" s="260">
        <f>[1]預算內選單資料來源!B516</f>
        <v/>
      </c>
      <c r="C516" s="260">
        <f/>
        <v/>
      </c>
      <c r="D516" s="260">
        <f/>
        <v/>
      </c>
      <c r="E516" s="260">
        <f/>
        <v/>
      </c>
      <c r="F516" s="260" t="n"/>
      <c r="G516" s="260">
        <f/>
        <v/>
      </c>
      <c r="H516" s="260">
        <f/>
        <v/>
      </c>
      <c r="I516" s="260">
        <f/>
        <v/>
      </c>
      <c r="J516" s="260">
        <f/>
        <v/>
      </c>
      <c r="K516" s="260">
        <f/>
        <v/>
      </c>
      <c r="L516" s="260">
        <f/>
        <v/>
      </c>
    </row>
    <row r="517" ht="16.5" customHeight="1" s="124">
      <c r="A517" s="123">
        <f>[1]預算內選單資料來源!A517</f>
        <v/>
      </c>
      <c r="B517" s="260">
        <f>[1]預算內選單資料來源!B517</f>
        <v/>
      </c>
      <c r="C517" s="260">
        <f/>
        <v/>
      </c>
      <c r="D517" s="260">
        <f/>
        <v/>
      </c>
      <c r="E517" s="260">
        <f/>
        <v/>
      </c>
      <c r="F517" s="260" t="n"/>
      <c r="G517" s="260">
        <f/>
        <v/>
      </c>
      <c r="H517" s="260">
        <f/>
        <v/>
      </c>
      <c r="I517" s="260">
        <f/>
        <v/>
      </c>
      <c r="J517" s="260">
        <f/>
        <v/>
      </c>
      <c r="K517" s="260">
        <f/>
        <v/>
      </c>
      <c r="L517" s="260">
        <f/>
        <v/>
      </c>
    </row>
    <row r="518" ht="16.5" customHeight="1" s="124">
      <c r="A518" s="123">
        <f>[1]預算內選單資料來源!A518</f>
        <v/>
      </c>
      <c r="B518" s="260">
        <f>[1]預算內選單資料來源!B518</f>
        <v/>
      </c>
      <c r="C518" s="260">
        <f/>
        <v/>
      </c>
      <c r="D518" s="260">
        <f/>
        <v/>
      </c>
      <c r="E518" s="260">
        <f/>
        <v/>
      </c>
      <c r="F518" s="260" t="n"/>
      <c r="G518" s="260">
        <f/>
        <v/>
      </c>
      <c r="H518" s="260">
        <f/>
        <v/>
      </c>
      <c r="I518" s="260">
        <f/>
        <v/>
      </c>
      <c r="J518" s="260">
        <f/>
        <v/>
      </c>
      <c r="K518" s="260">
        <f/>
        <v/>
      </c>
      <c r="L518" s="260">
        <f/>
        <v/>
      </c>
    </row>
    <row r="519" ht="16.5" customHeight="1" s="124">
      <c r="A519" s="123">
        <f>[1]預算內選單資料來源!A519</f>
        <v/>
      </c>
      <c r="B519" s="260">
        <f>[1]預算內選單資料來源!B519</f>
        <v/>
      </c>
      <c r="C519" s="260">
        <f/>
        <v/>
      </c>
      <c r="D519" s="260">
        <f/>
        <v/>
      </c>
      <c r="E519" s="260">
        <f/>
        <v/>
      </c>
      <c r="F519" s="260" t="n"/>
      <c r="G519" s="260">
        <f/>
        <v/>
      </c>
      <c r="H519" s="260">
        <f/>
        <v/>
      </c>
      <c r="I519" s="260">
        <f/>
        <v/>
      </c>
      <c r="J519" s="260">
        <f/>
        <v/>
      </c>
      <c r="K519" s="260">
        <f/>
        <v/>
      </c>
      <c r="L519" s="260">
        <f/>
        <v/>
      </c>
    </row>
    <row r="520" ht="16.5" customHeight="1" s="124">
      <c r="A520" s="123">
        <f>[1]預算內選單資料來源!A520</f>
        <v/>
      </c>
      <c r="B520" s="260">
        <f>[1]預算內選單資料來源!B520</f>
        <v/>
      </c>
      <c r="C520" s="260">
        <f/>
        <v/>
      </c>
      <c r="D520" s="260">
        <f/>
        <v/>
      </c>
      <c r="E520" s="260">
        <f/>
        <v/>
      </c>
      <c r="F520" s="260" t="n"/>
      <c r="G520" s="260">
        <f/>
        <v/>
      </c>
      <c r="H520" s="260">
        <f/>
        <v/>
      </c>
      <c r="I520" s="260">
        <f/>
        <v/>
      </c>
      <c r="J520" s="260">
        <f/>
        <v/>
      </c>
      <c r="K520" s="260">
        <f/>
        <v/>
      </c>
      <c r="L520" s="260">
        <f/>
        <v/>
      </c>
    </row>
    <row r="521" ht="16.5" customHeight="1" s="124">
      <c r="A521" s="123">
        <f>[1]預算內選單資料來源!A521</f>
        <v/>
      </c>
      <c r="B521" s="260">
        <f>[1]預算內選單資料來源!B521</f>
        <v/>
      </c>
      <c r="C521" s="260">
        <f/>
        <v/>
      </c>
      <c r="D521" s="260">
        <f/>
        <v/>
      </c>
      <c r="E521" s="260">
        <f/>
        <v/>
      </c>
      <c r="F521" s="260" t="n"/>
      <c r="G521" s="260">
        <f/>
        <v/>
      </c>
      <c r="H521" s="260">
        <f/>
        <v/>
      </c>
      <c r="I521" s="260">
        <f/>
        <v/>
      </c>
      <c r="J521" s="260">
        <f/>
        <v/>
      </c>
      <c r="K521" s="260">
        <f/>
        <v/>
      </c>
      <c r="L521" s="260">
        <f/>
        <v/>
      </c>
    </row>
    <row r="522" ht="16.5" customHeight="1" s="124">
      <c r="A522" s="123">
        <f>[1]預算內選單資料來源!A522</f>
        <v/>
      </c>
      <c r="B522" s="260">
        <f>[1]預算內選單資料來源!B522</f>
        <v/>
      </c>
      <c r="C522" s="260">
        <f/>
        <v/>
      </c>
      <c r="D522" s="260">
        <f/>
        <v/>
      </c>
      <c r="E522" s="260">
        <f/>
        <v/>
      </c>
      <c r="F522" s="260" t="n"/>
      <c r="G522" s="260">
        <f/>
        <v/>
      </c>
      <c r="H522" s="260">
        <f/>
        <v/>
      </c>
      <c r="I522" s="260">
        <f/>
        <v/>
      </c>
      <c r="J522" s="260">
        <f/>
        <v/>
      </c>
      <c r="K522" s="260">
        <f/>
        <v/>
      </c>
      <c r="L522" s="260">
        <f/>
        <v/>
      </c>
    </row>
    <row r="523" ht="16.5" customHeight="1" s="124">
      <c r="A523" s="123">
        <f>[1]預算內選單資料來源!A523</f>
        <v/>
      </c>
      <c r="B523" s="260">
        <f>[1]預算內選單資料來源!B523</f>
        <v/>
      </c>
      <c r="C523" s="260">
        <f/>
        <v/>
      </c>
      <c r="D523" s="260">
        <f/>
        <v/>
      </c>
      <c r="E523" s="260">
        <f/>
        <v/>
      </c>
      <c r="F523" s="260" t="n"/>
      <c r="G523" s="260">
        <f/>
        <v/>
      </c>
      <c r="H523" s="260">
        <f/>
        <v/>
      </c>
      <c r="I523" s="260">
        <f/>
        <v/>
      </c>
      <c r="J523" s="260">
        <f/>
        <v/>
      </c>
      <c r="K523" s="260">
        <f/>
        <v/>
      </c>
      <c r="L523" s="260">
        <f/>
        <v/>
      </c>
    </row>
    <row r="524" ht="16.5" customHeight="1" s="124">
      <c r="A524" s="123">
        <f>[1]預算內選單資料來源!A524</f>
        <v/>
      </c>
      <c r="B524" s="260">
        <f>[1]預算內選單資料來源!B524</f>
        <v/>
      </c>
      <c r="C524" s="260">
        <f/>
        <v/>
      </c>
      <c r="D524" s="260">
        <f/>
        <v/>
      </c>
      <c r="E524" s="260">
        <f/>
        <v/>
      </c>
      <c r="F524" s="260" t="n"/>
      <c r="G524" s="260">
        <f/>
        <v/>
      </c>
      <c r="H524" s="260">
        <f/>
        <v/>
      </c>
      <c r="I524" s="260">
        <f/>
        <v/>
      </c>
      <c r="J524" s="260">
        <f/>
        <v/>
      </c>
      <c r="K524" s="260">
        <f/>
        <v/>
      </c>
      <c r="L524" s="260">
        <f/>
        <v/>
      </c>
    </row>
    <row r="525" ht="16.5" customHeight="1" s="124">
      <c r="A525" s="123">
        <f>[1]預算內選單資料來源!A525</f>
        <v/>
      </c>
      <c r="B525" s="260">
        <f>[1]預算內選單資料來源!B525</f>
        <v/>
      </c>
      <c r="C525" s="260">
        <f/>
        <v/>
      </c>
      <c r="D525" s="260">
        <f/>
        <v/>
      </c>
      <c r="E525" s="260">
        <f/>
        <v/>
      </c>
      <c r="F525" s="260" t="n"/>
      <c r="G525" s="260">
        <f/>
        <v/>
      </c>
      <c r="H525" s="260">
        <f/>
        <v/>
      </c>
      <c r="I525" s="260">
        <f/>
        <v/>
      </c>
      <c r="J525" s="260">
        <f/>
        <v/>
      </c>
      <c r="K525" s="260">
        <f/>
        <v/>
      </c>
      <c r="L525" s="260">
        <f/>
        <v/>
      </c>
    </row>
    <row r="526" ht="16.5" customHeight="1" s="124">
      <c r="A526" s="123">
        <f>[1]預算內選單資料來源!A526</f>
        <v/>
      </c>
      <c r="B526" s="260">
        <f>[1]預算內選單資料來源!B526</f>
        <v/>
      </c>
      <c r="C526" s="260">
        <f/>
        <v/>
      </c>
      <c r="D526" s="260">
        <f/>
        <v/>
      </c>
      <c r="E526" s="260">
        <f/>
        <v/>
      </c>
      <c r="F526" s="260" t="n"/>
      <c r="G526" s="260">
        <f/>
        <v/>
      </c>
      <c r="H526" s="260">
        <f/>
        <v/>
      </c>
      <c r="I526" s="260">
        <f/>
        <v/>
      </c>
      <c r="J526" s="260">
        <f/>
        <v/>
      </c>
      <c r="K526" s="260">
        <f/>
        <v/>
      </c>
      <c r="L526" s="260">
        <f/>
        <v/>
      </c>
    </row>
    <row r="527" ht="16.5" customHeight="1" s="124">
      <c r="A527" s="123">
        <f>[1]預算內選單資料來源!A527</f>
        <v/>
      </c>
      <c r="B527" s="260">
        <f>[1]預算內選單資料來源!B527</f>
        <v/>
      </c>
      <c r="C527" s="260">
        <f/>
        <v/>
      </c>
      <c r="D527" s="260">
        <f/>
        <v/>
      </c>
      <c r="E527" s="260">
        <f/>
        <v/>
      </c>
      <c r="F527" s="260" t="n"/>
      <c r="G527" s="260">
        <f/>
        <v/>
      </c>
      <c r="H527" s="260">
        <f/>
        <v/>
      </c>
      <c r="I527" s="260">
        <f/>
        <v/>
      </c>
      <c r="J527" s="260">
        <f/>
        <v/>
      </c>
      <c r="K527" s="260">
        <f/>
        <v/>
      </c>
      <c r="L527" s="260">
        <f/>
        <v/>
      </c>
    </row>
    <row r="528" ht="16.5" customHeight="1" s="124">
      <c r="A528" s="123">
        <f>[1]預算內選單資料來源!A528</f>
        <v/>
      </c>
      <c r="B528" s="260">
        <f>[1]預算內選單資料來源!B528</f>
        <v/>
      </c>
      <c r="C528" s="260">
        <f/>
        <v/>
      </c>
      <c r="D528" s="260">
        <f/>
        <v/>
      </c>
      <c r="E528" s="260">
        <f/>
        <v/>
      </c>
      <c r="F528" s="260" t="n"/>
      <c r="G528" s="260">
        <f/>
        <v/>
      </c>
      <c r="H528" s="260">
        <f/>
        <v/>
      </c>
      <c r="I528" s="260">
        <f/>
        <v/>
      </c>
      <c r="J528" s="260">
        <f/>
        <v/>
      </c>
      <c r="K528" s="260">
        <f/>
        <v/>
      </c>
      <c r="L528" s="260">
        <f/>
        <v/>
      </c>
    </row>
    <row r="529" ht="16.5" customHeight="1" s="124">
      <c r="A529" s="123">
        <f>[1]預算內選單資料來源!A529</f>
        <v/>
      </c>
      <c r="B529" s="260">
        <f>[1]預算內選單資料來源!B529</f>
        <v/>
      </c>
      <c r="C529" s="260">
        <f/>
        <v/>
      </c>
      <c r="D529" s="260">
        <f/>
        <v/>
      </c>
      <c r="E529" s="260">
        <f/>
        <v/>
      </c>
      <c r="F529" s="260" t="n"/>
      <c r="G529" s="260">
        <f/>
        <v/>
      </c>
      <c r="H529" s="260">
        <f/>
        <v/>
      </c>
      <c r="I529" s="260">
        <f/>
        <v/>
      </c>
      <c r="J529" s="260">
        <f/>
        <v/>
      </c>
      <c r="K529" s="260">
        <f/>
        <v/>
      </c>
      <c r="L529" s="260">
        <f/>
        <v/>
      </c>
    </row>
    <row r="530" ht="16.5" customHeight="1" s="124">
      <c r="A530" s="123">
        <f>[1]預算內選單資料來源!A530</f>
        <v/>
      </c>
      <c r="B530" s="260">
        <f>[1]預算內選單資料來源!B530</f>
        <v/>
      </c>
      <c r="C530" s="260">
        <f/>
        <v/>
      </c>
      <c r="D530" s="260">
        <f/>
        <v/>
      </c>
      <c r="E530" s="260">
        <f/>
        <v/>
      </c>
      <c r="F530" s="260" t="n"/>
      <c r="G530" s="260">
        <f/>
        <v/>
      </c>
      <c r="H530" s="260">
        <f/>
        <v/>
      </c>
      <c r="I530" s="260">
        <f/>
        <v/>
      </c>
      <c r="J530" s="260">
        <f/>
        <v/>
      </c>
      <c r="K530" s="260">
        <f/>
        <v/>
      </c>
      <c r="L530" s="260">
        <f/>
        <v/>
      </c>
    </row>
    <row r="531" ht="16.5" customHeight="1" s="124">
      <c r="A531" s="123">
        <f>[1]預算內選單資料來源!A531</f>
        <v/>
      </c>
      <c r="B531" s="260">
        <f>[1]預算內選單資料來源!B531</f>
        <v/>
      </c>
      <c r="C531" s="260">
        <f/>
        <v/>
      </c>
      <c r="D531" s="260">
        <f/>
        <v/>
      </c>
      <c r="E531" s="260">
        <f/>
        <v/>
      </c>
      <c r="F531" s="260" t="n"/>
      <c r="G531" s="260">
        <f/>
        <v/>
      </c>
      <c r="H531" s="260">
        <f/>
        <v/>
      </c>
      <c r="I531" s="260">
        <f/>
        <v/>
      </c>
      <c r="J531" s="260">
        <f/>
        <v/>
      </c>
      <c r="K531" s="260">
        <f/>
        <v/>
      </c>
      <c r="L531" s="260">
        <f/>
        <v/>
      </c>
    </row>
    <row r="532" ht="16.5" customHeight="1" s="124">
      <c r="A532" s="123">
        <f>[1]預算內選單資料來源!A532</f>
        <v/>
      </c>
      <c r="B532" s="260">
        <f>[1]預算內選單資料來源!B532</f>
        <v/>
      </c>
      <c r="C532" s="260">
        <f/>
        <v/>
      </c>
      <c r="D532" s="260">
        <f/>
        <v/>
      </c>
      <c r="E532" s="260">
        <f/>
        <v/>
      </c>
      <c r="F532" s="260" t="n"/>
      <c r="G532" s="260">
        <f/>
        <v/>
      </c>
      <c r="H532" s="260">
        <f/>
        <v/>
      </c>
      <c r="I532" s="260">
        <f/>
        <v/>
      </c>
      <c r="J532" s="260">
        <f/>
        <v/>
      </c>
      <c r="K532" s="260">
        <f/>
        <v/>
      </c>
      <c r="L532" s="260">
        <f/>
        <v/>
      </c>
    </row>
    <row r="533" ht="16.5" customHeight="1" s="124">
      <c r="A533" s="123">
        <f>[1]預算內選單資料來源!A533</f>
        <v/>
      </c>
      <c r="B533" s="260">
        <f>[1]預算內選單資料來源!B533</f>
        <v/>
      </c>
      <c r="C533" s="260">
        <f/>
        <v/>
      </c>
      <c r="D533" s="260">
        <f/>
        <v/>
      </c>
      <c r="E533" s="260">
        <f/>
        <v/>
      </c>
      <c r="F533" s="260" t="n"/>
      <c r="G533" s="260">
        <f/>
        <v/>
      </c>
      <c r="H533" s="260">
        <f/>
        <v/>
      </c>
      <c r="I533" s="260">
        <f/>
        <v/>
      </c>
      <c r="J533" s="260">
        <f/>
        <v/>
      </c>
      <c r="K533" s="260">
        <f/>
        <v/>
      </c>
      <c r="L533" s="260">
        <f/>
        <v/>
      </c>
    </row>
    <row r="534" ht="16.5" customHeight="1" s="124">
      <c r="A534" s="123">
        <f>[1]預算內選單資料來源!A534</f>
        <v/>
      </c>
      <c r="B534" s="260">
        <f>[1]預算內選單資料來源!B534</f>
        <v/>
      </c>
      <c r="C534" s="260">
        <f/>
        <v/>
      </c>
      <c r="D534" s="260">
        <f/>
        <v/>
      </c>
      <c r="E534" s="260">
        <f/>
        <v/>
      </c>
      <c r="F534" s="260" t="n"/>
      <c r="G534" s="260">
        <f/>
        <v/>
      </c>
      <c r="H534" s="260">
        <f/>
        <v/>
      </c>
      <c r="I534" s="260">
        <f/>
        <v/>
      </c>
      <c r="J534" s="260">
        <f/>
        <v/>
      </c>
      <c r="K534" s="260">
        <f/>
        <v/>
      </c>
      <c r="L534" s="260">
        <f/>
        <v/>
      </c>
    </row>
    <row r="535" ht="16.5" customHeight="1" s="124">
      <c r="A535" s="123">
        <f>[1]預算內選單資料來源!A535</f>
        <v/>
      </c>
      <c r="B535" s="260">
        <f>[1]預算內選單資料來源!B535</f>
        <v/>
      </c>
      <c r="C535" s="260">
        <f/>
        <v/>
      </c>
      <c r="D535" s="260">
        <f/>
        <v/>
      </c>
      <c r="E535" s="260">
        <f/>
        <v/>
      </c>
      <c r="F535" s="260" t="n"/>
      <c r="G535" s="260">
        <f/>
        <v/>
      </c>
      <c r="H535" s="260">
        <f/>
        <v/>
      </c>
      <c r="I535" s="260">
        <f/>
        <v/>
      </c>
      <c r="J535" s="260">
        <f/>
        <v/>
      </c>
      <c r="K535" s="260">
        <f/>
        <v/>
      </c>
      <c r="L535" s="260">
        <f/>
        <v/>
      </c>
    </row>
    <row r="536" ht="16.5" customHeight="1" s="124">
      <c r="A536" s="123">
        <f>[1]預算內選單資料來源!A536</f>
        <v/>
      </c>
      <c r="B536" s="260">
        <f>[1]預算內選單資料來源!B536</f>
        <v/>
      </c>
      <c r="C536" s="260">
        <f/>
        <v/>
      </c>
      <c r="D536" s="260">
        <f/>
        <v/>
      </c>
      <c r="E536" s="260">
        <f/>
        <v/>
      </c>
      <c r="F536" s="260" t="n"/>
      <c r="G536" s="260">
        <f/>
        <v/>
      </c>
      <c r="H536" s="260">
        <f/>
        <v/>
      </c>
      <c r="I536" s="260">
        <f/>
        <v/>
      </c>
      <c r="J536" s="260">
        <f/>
        <v/>
      </c>
      <c r="K536" s="260">
        <f/>
        <v/>
      </c>
      <c r="L536" s="260">
        <f/>
        <v/>
      </c>
    </row>
    <row r="537" ht="16.5" customHeight="1" s="124">
      <c r="A537" s="123">
        <f>[1]預算內選單資料來源!A537</f>
        <v/>
      </c>
      <c r="B537" s="260">
        <f>[1]預算內選單資料來源!B537</f>
        <v/>
      </c>
      <c r="C537" s="260">
        <f/>
        <v/>
      </c>
      <c r="D537" s="260">
        <f/>
        <v/>
      </c>
      <c r="E537" s="260">
        <f/>
        <v/>
      </c>
      <c r="F537" s="260" t="n"/>
      <c r="G537" s="260">
        <f/>
        <v/>
      </c>
      <c r="H537" s="260">
        <f/>
        <v/>
      </c>
      <c r="I537" s="260">
        <f/>
        <v/>
      </c>
      <c r="J537" s="260">
        <f/>
        <v/>
      </c>
      <c r="K537" s="260">
        <f/>
        <v/>
      </c>
      <c r="L537" s="260">
        <f/>
        <v/>
      </c>
    </row>
    <row r="538" ht="16.5" customHeight="1" s="124">
      <c r="A538" s="123">
        <f>[1]預算內選單資料來源!A538</f>
        <v/>
      </c>
      <c r="B538" s="260">
        <f>[1]預算內選單資料來源!B538</f>
        <v/>
      </c>
      <c r="C538" s="260">
        <f/>
        <v/>
      </c>
      <c r="D538" s="260">
        <f/>
        <v/>
      </c>
      <c r="E538" s="260">
        <f/>
        <v/>
      </c>
      <c r="F538" s="260" t="n"/>
      <c r="G538" s="260">
        <f/>
        <v/>
      </c>
      <c r="H538" s="260">
        <f/>
        <v/>
      </c>
      <c r="I538" s="260">
        <f/>
        <v/>
      </c>
      <c r="J538" s="260">
        <f/>
        <v/>
      </c>
      <c r="K538" s="260">
        <f/>
        <v/>
      </c>
      <c r="L538" s="260">
        <f/>
        <v/>
      </c>
    </row>
    <row r="539" ht="16.5" customHeight="1" s="124">
      <c r="A539" s="123">
        <f>[1]預算內選單資料來源!A539</f>
        <v/>
      </c>
      <c r="B539" s="260">
        <f>[1]預算內選單資料來源!B539</f>
        <v/>
      </c>
      <c r="C539" s="260">
        <f/>
        <v/>
      </c>
      <c r="D539" s="260">
        <f/>
        <v/>
      </c>
      <c r="E539" s="260">
        <f/>
        <v/>
      </c>
      <c r="F539" s="260" t="n"/>
      <c r="G539" s="260">
        <f/>
        <v/>
      </c>
      <c r="H539" s="260">
        <f/>
        <v/>
      </c>
      <c r="I539" s="260">
        <f/>
        <v/>
      </c>
      <c r="J539" s="260">
        <f/>
        <v/>
      </c>
      <c r="K539" s="260">
        <f/>
        <v/>
      </c>
      <c r="L539" s="260">
        <f/>
        <v/>
      </c>
    </row>
    <row r="540" ht="16.5" customHeight="1" s="124">
      <c r="A540" s="123">
        <f>[1]預算內選單資料來源!A540</f>
        <v/>
      </c>
      <c r="B540" s="260">
        <f>[1]預算內選單資料來源!B540</f>
        <v/>
      </c>
      <c r="C540" s="260">
        <f/>
        <v/>
      </c>
      <c r="D540" s="260">
        <f/>
        <v/>
      </c>
      <c r="E540" s="260">
        <f/>
        <v/>
      </c>
      <c r="F540" s="260" t="n"/>
      <c r="G540" s="260">
        <f/>
        <v/>
      </c>
      <c r="H540" s="260">
        <f/>
        <v/>
      </c>
      <c r="I540" s="260">
        <f/>
        <v/>
      </c>
      <c r="J540" s="260">
        <f/>
        <v/>
      </c>
      <c r="K540" s="260">
        <f/>
        <v/>
      </c>
      <c r="L540" s="260">
        <f/>
        <v/>
      </c>
    </row>
    <row r="541" ht="16.5" customHeight="1" s="124">
      <c r="A541" s="123">
        <f>[1]預算內選單資料來源!A541</f>
        <v/>
      </c>
      <c r="B541" s="260">
        <f>[1]預算內選單資料來源!B541</f>
        <v/>
      </c>
      <c r="C541" s="260">
        <f/>
        <v/>
      </c>
      <c r="D541" s="260">
        <f/>
        <v/>
      </c>
      <c r="E541" s="260">
        <f/>
        <v/>
      </c>
      <c r="F541" s="260" t="n"/>
      <c r="G541" s="260">
        <f/>
        <v/>
      </c>
      <c r="H541" s="260">
        <f/>
        <v/>
      </c>
      <c r="I541" s="260">
        <f/>
        <v/>
      </c>
      <c r="J541" s="260">
        <f/>
        <v/>
      </c>
      <c r="K541" s="260">
        <f/>
        <v/>
      </c>
      <c r="L541" s="260">
        <f/>
        <v/>
      </c>
    </row>
    <row r="542" ht="16.5" customHeight="1" s="124">
      <c r="A542" s="123">
        <f>[1]預算內選單資料來源!A542</f>
        <v/>
      </c>
      <c r="B542" s="260">
        <f>[1]預算內選單資料來源!B542</f>
        <v/>
      </c>
      <c r="C542" s="260">
        <f/>
        <v/>
      </c>
      <c r="D542" s="260">
        <f/>
        <v/>
      </c>
      <c r="E542" s="260">
        <f/>
        <v/>
      </c>
      <c r="F542" s="260" t="n"/>
      <c r="G542" s="260">
        <f/>
        <v/>
      </c>
      <c r="H542" s="260">
        <f/>
        <v/>
      </c>
      <c r="I542" s="260">
        <f/>
        <v/>
      </c>
      <c r="J542" s="260">
        <f/>
        <v/>
      </c>
      <c r="K542" s="260">
        <f/>
        <v/>
      </c>
      <c r="L542" s="260">
        <f/>
        <v/>
      </c>
    </row>
    <row r="543" ht="16.5" customHeight="1" s="124">
      <c r="A543" s="123">
        <f>[1]預算內選單資料來源!A543</f>
        <v/>
      </c>
      <c r="B543" s="260">
        <f>[1]預算內選單資料來源!B543</f>
        <v/>
      </c>
      <c r="C543" s="260">
        <f/>
        <v/>
      </c>
      <c r="D543" s="260">
        <f/>
        <v/>
      </c>
      <c r="E543" s="260">
        <f/>
        <v/>
      </c>
      <c r="F543" s="260" t="n"/>
      <c r="G543" s="260">
        <f/>
        <v/>
      </c>
      <c r="H543" s="260">
        <f/>
        <v/>
      </c>
      <c r="I543" s="260">
        <f/>
        <v/>
      </c>
      <c r="J543" s="260">
        <f/>
        <v/>
      </c>
      <c r="K543" s="260">
        <f/>
        <v/>
      </c>
      <c r="L543" s="260">
        <f/>
        <v/>
      </c>
    </row>
    <row r="544" ht="16.5" customHeight="1" s="124">
      <c r="A544" s="123">
        <f>[1]預算內選單資料來源!A544</f>
        <v/>
      </c>
      <c r="B544" s="260">
        <f>[1]預算內選單資料來源!B544</f>
        <v/>
      </c>
      <c r="C544" s="260">
        <f/>
        <v/>
      </c>
      <c r="D544" s="260">
        <f/>
        <v/>
      </c>
      <c r="E544" s="260">
        <f/>
        <v/>
      </c>
      <c r="F544" s="260" t="n"/>
      <c r="G544" s="260">
        <f/>
        <v/>
      </c>
      <c r="H544" s="260">
        <f/>
        <v/>
      </c>
      <c r="I544" s="260">
        <f/>
        <v/>
      </c>
      <c r="J544" s="260">
        <f/>
        <v/>
      </c>
      <c r="K544" s="260">
        <f/>
        <v/>
      </c>
      <c r="L544" s="260">
        <f/>
        <v/>
      </c>
    </row>
    <row r="545" ht="16.5" customHeight="1" s="124">
      <c r="A545" s="123">
        <f>[1]預算內選單資料來源!A545</f>
        <v/>
      </c>
      <c r="B545" s="260">
        <f>[1]預算內選單資料來源!B545</f>
        <v/>
      </c>
      <c r="C545" s="260">
        <f/>
        <v/>
      </c>
      <c r="D545" s="260">
        <f/>
        <v/>
      </c>
      <c r="E545" s="260">
        <f/>
        <v/>
      </c>
      <c r="F545" s="260" t="n"/>
      <c r="G545" s="260">
        <f/>
        <v/>
      </c>
      <c r="H545" s="260">
        <f/>
        <v/>
      </c>
      <c r="I545" s="260">
        <f/>
        <v/>
      </c>
      <c r="J545" s="260">
        <f/>
        <v/>
      </c>
      <c r="K545" s="260">
        <f/>
        <v/>
      </c>
      <c r="L545" s="260">
        <f/>
        <v/>
      </c>
    </row>
    <row r="546" ht="16.5" customHeight="1" s="124">
      <c r="A546" s="123">
        <f>[1]預算內選單資料來源!A546</f>
        <v/>
      </c>
      <c r="B546" s="260">
        <f>[1]預算內選單資料來源!B546</f>
        <v/>
      </c>
      <c r="C546" s="260">
        <f/>
        <v/>
      </c>
      <c r="D546" s="260">
        <f/>
        <v/>
      </c>
      <c r="E546" s="260">
        <f/>
        <v/>
      </c>
      <c r="F546" s="260" t="n"/>
      <c r="G546" s="260">
        <f/>
        <v/>
      </c>
      <c r="H546" s="260">
        <f/>
        <v/>
      </c>
      <c r="I546" s="260">
        <f/>
        <v/>
      </c>
      <c r="J546" s="260">
        <f/>
        <v/>
      </c>
      <c r="K546" s="260">
        <f/>
        <v/>
      </c>
      <c r="L546" s="260">
        <f/>
        <v/>
      </c>
    </row>
    <row r="547" ht="16.5" customHeight="1" s="124">
      <c r="A547" s="123">
        <f>[1]預算內選單資料來源!A547</f>
        <v/>
      </c>
      <c r="B547" s="260">
        <f>[1]預算內選單資料來源!B547</f>
        <v/>
      </c>
      <c r="C547" s="260">
        <f/>
        <v/>
      </c>
      <c r="D547" s="260">
        <f/>
        <v/>
      </c>
      <c r="E547" s="260">
        <f/>
        <v/>
      </c>
      <c r="F547" s="260" t="n"/>
      <c r="G547" s="260">
        <f/>
        <v/>
      </c>
      <c r="H547" s="260">
        <f/>
        <v/>
      </c>
      <c r="I547" s="260">
        <f/>
        <v/>
      </c>
      <c r="J547" s="260">
        <f/>
        <v/>
      </c>
      <c r="K547" s="260">
        <f/>
        <v/>
      </c>
      <c r="L547" s="260">
        <f/>
        <v/>
      </c>
    </row>
    <row r="548" ht="16.5" customHeight="1" s="124">
      <c r="A548" s="123">
        <f>[1]預算內選單資料來源!A548</f>
        <v/>
      </c>
      <c r="B548" s="260">
        <f>[1]預算內選單資料來源!B548</f>
        <v/>
      </c>
      <c r="C548" s="260">
        <f/>
        <v/>
      </c>
      <c r="D548" s="260">
        <f/>
        <v/>
      </c>
      <c r="E548" s="260">
        <f/>
        <v/>
      </c>
      <c r="F548" s="260" t="n"/>
      <c r="G548" s="260">
        <f/>
        <v/>
      </c>
      <c r="H548" s="260">
        <f/>
        <v/>
      </c>
      <c r="I548" s="260">
        <f/>
        <v/>
      </c>
      <c r="J548" s="260">
        <f/>
        <v/>
      </c>
      <c r="K548" s="260">
        <f/>
        <v/>
      </c>
      <c r="L548" s="260">
        <f/>
        <v/>
      </c>
    </row>
    <row r="549" ht="16.5" customHeight="1" s="124">
      <c r="A549" s="123">
        <f>[1]預算內選單資料來源!A549</f>
        <v/>
      </c>
      <c r="B549" s="260">
        <f>[1]預算內選單資料來源!B549</f>
        <v/>
      </c>
      <c r="C549" s="260">
        <f/>
        <v/>
      </c>
      <c r="D549" s="260">
        <f/>
        <v/>
      </c>
      <c r="E549" s="260">
        <f/>
        <v/>
      </c>
      <c r="F549" s="260" t="n"/>
      <c r="G549" s="260">
        <f/>
        <v/>
      </c>
      <c r="H549" s="260">
        <f/>
        <v/>
      </c>
      <c r="I549" s="260">
        <f/>
        <v/>
      </c>
      <c r="J549" s="260">
        <f/>
        <v/>
      </c>
      <c r="K549" s="260">
        <f/>
        <v/>
      </c>
      <c r="L549" s="260">
        <f/>
        <v/>
      </c>
    </row>
    <row r="550" ht="16.5" customHeight="1" s="124">
      <c r="A550" s="123">
        <f>[1]預算內選單資料來源!A550</f>
        <v/>
      </c>
      <c r="B550" s="260">
        <f>[1]預算內選單資料來源!B550</f>
        <v/>
      </c>
      <c r="C550" s="260">
        <f/>
        <v/>
      </c>
      <c r="D550" s="260">
        <f/>
        <v/>
      </c>
      <c r="E550" s="260">
        <f/>
        <v/>
      </c>
      <c r="F550" s="260" t="n"/>
      <c r="G550" s="260">
        <f/>
        <v/>
      </c>
      <c r="H550" s="260">
        <f/>
        <v/>
      </c>
      <c r="I550" s="260">
        <f/>
        <v/>
      </c>
      <c r="J550" s="260">
        <f/>
        <v/>
      </c>
      <c r="K550" s="260">
        <f/>
        <v/>
      </c>
      <c r="L550" s="260">
        <f/>
        <v/>
      </c>
    </row>
    <row r="551" ht="16.5" customHeight="1" s="124">
      <c r="A551" s="123">
        <f>[1]預算內選單資料來源!A551</f>
        <v/>
      </c>
      <c r="B551" s="260">
        <f>[1]預算內選單資料來源!B551</f>
        <v/>
      </c>
      <c r="C551" s="260">
        <f/>
        <v/>
      </c>
      <c r="D551" s="260">
        <f/>
        <v/>
      </c>
      <c r="E551" s="260">
        <f/>
        <v/>
      </c>
      <c r="F551" s="260" t="n"/>
      <c r="G551" s="260">
        <f/>
        <v/>
      </c>
      <c r="H551" s="260">
        <f/>
        <v/>
      </c>
      <c r="I551" s="260">
        <f/>
        <v/>
      </c>
      <c r="J551" s="260">
        <f/>
        <v/>
      </c>
      <c r="K551" s="260">
        <f/>
        <v/>
      </c>
      <c r="L551" s="260">
        <f/>
        <v/>
      </c>
    </row>
    <row r="552" ht="16.5" customHeight="1" s="124">
      <c r="A552" s="123">
        <f>[1]預算內選單資料來源!A552</f>
        <v/>
      </c>
      <c r="B552" s="260">
        <f>[1]預算內選單資料來源!B552</f>
        <v/>
      </c>
      <c r="C552" s="260">
        <f/>
        <v/>
      </c>
      <c r="D552" s="260">
        <f/>
        <v/>
      </c>
      <c r="E552" s="260">
        <f/>
        <v/>
      </c>
      <c r="F552" s="260" t="n"/>
      <c r="G552" s="260">
        <f/>
        <v/>
      </c>
      <c r="H552" s="260">
        <f/>
        <v/>
      </c>
      <c r="I552" s="260">
        <f/>
        <v/>
      </c>
      <c r="J552" s="260">
        <f/>
        <v/>
      </c>
      <c r="K552" s="260">
        <f/>
        <v/>
      </c>
      <c r="L552" s="260">
        <f/>
        <v/>
      </c>
    </row>
    <row r="553" ht="16.5" customHeight="1" s="124">
      <c r="A553" s="123">
        <f>[1]預算內選單資料來源!A553</f>
        <v/>
      </c>
      <c r="B553" s="260">
        <f>[1]預算內選單資料來源!B553</f>
        <v/>
      </c>
      <c r="C553" s="260">
        <f/>
        <v/>
      </c>
      <c r="D553" s="260">
        <f/>
        <v/>
      </c>
      <c r="E553" s="260">
        <f/>
        <v/>
      </c>
      <c r="F553" s="260" t="n"/>
      <c r="G553" s="260">
        <f/>
        <v/>
      </c>
      <c r="H553" s="260">
        <f/>
        <v/>
      </c>
      <c r="I553" s="260">
        <f/>
        <v/>
      </c>
      <c r="J553" s="260">
        <f/>
        <v/>
      </c>
      <c r="K553" s="260">
        <f/>
        <v/>
      </c>
      <c r="L553" s="260">
        <f/>
        <v/>
      </c>
    </row>
    <row r="554" ht="16.5" customHeight="1" s="124">
      <c r="A554" s="123">
        <f>[1]預算內選單資料來源!A554</f>
        <v/>
      </c>
      <c r="B554" s="260">
        <f>[1]預算內選單資料來源!B554</f>
        <v/>
      </c>
      <c r="C554" s="260">
        <f/>
        <v/>
      </c>
      <c r="D554" s="260">
        <f/>
        <v/>
      </c>
      <c r="E554" s="260">
        <f/>
        <v/>
      </c>
      <c r="F554" s="260" t="n"/>
      <c r="G554" s="260">
        <f/>
        <v/>
      </c>
      <c r="H554" s="260">
        <f/>
        <v/>
      </c>
      <c r="I554" s="260">
        <f/>
        <v/>
      </c>
      <c r="J554" s="260">
        <f/>
        <v/>
      </c>
      <c r="K554" s="260">
        <f/>
        <v/>
      </c>
      <c r="L554" s="260">
        <f/>
        <v/>
      </c>
    </row>
    <row r="555" ht="16.5" customHeight="1" s="124">
      <c r="A555" s="123">
        <f>[1]預算內選單資料來源!A555</f>
        <v/>
      </c>
      <c r="B555" s="260">
        <f>[1]預算內選單資料來源!B555</f>
        <v/>
      </c>
      <c r="C555" s="260">
        <f/>
        <v/>
      </c>
      <c r="D555" s="260">
        <f/>
        <v/>
      </c>
      <c r="E555" s="260">
        <f/>
        <v/>
      </c>
      <c r="F555" s="260" t="n"/>
      <c r="G555" s="260">
        <f/>
        <v/>
      </c>
      <c r="H555" s="260">
        <f/>
        <v/>
      </c>
      <c r="I555" s="260">
        <f/>
        <v/>
      </c>
      <c r="J555" s="260">
        <f/>
        <v/>
      </c>
      <c r="K555" s="260">
        <f/>
        <v/>
      </c>
      <c r="L555" s="260">
        <f/>
        <v/>
      </c>
    </row>
    <row r="556" ht="16.5" customHeight="1" s="124">
      <c r="A556" s="123">
        <f>[1]預算內選單資料來源!A556</f>
        <v/>
      </c>
      <c r="B556" s="260">
        <f>[1]預算內選單資料來源!B556</f>
        <v/>
      </c>
      <c r="C556" s="260">
        <f/>
        <v/>
      </c>
      <c r="D556" s="260">
        <f/>
        <v/>
      </c>
      <c r="E556" s="260">
        <f/>
        <v/>
      </c>
      <c r="F556" s="260" t="n"/>
      <c r="G556" s="260">
        <f/>
        <v/>
      </c>
      <c r="H556" s="260">
        <f/>
        <v/>
      </c>
      <c r="I556" s="260">
        <f/>
        <v/>
      </c>
      <c r="J556" s="260">
        <f/>
        <v/>
      </c>
      <c r="K556" s="260">
        <f/>
        <v/>
      </c>
      <c r="L556" s="260">
        <f/>
        <v/>
      </c>
    </row>
    <row r="557" ht="16.5" customHeight="1" s="124">
      <c r="A557" s="123">
        <f>[1]預算內選單資料來源!A557</f>
        <v/>
      </c>
      <c r="B557" s="260">
        <f>[1]預算內選單資料來源!B557</f>
        <v/>
      </c>
      <c r="C557" s="260">
        <f/>
        <v/>
      </c>
      <c r="D557" s="260">
        <f/>
        <v/>
      </c>
      <c r="E557" s="260">
        <f/>
        <v/>
      </c>
      <c r="F557" s="260" t="n"/>
      <c r="G557" s="260">
        <f/>
        <v/>
      </c>
      <c r="H557" s="260">
        <f/>
        <v/>
      </c>
      <c r="I557" s="260">
        <f/>
        <v/>
      </c>
      <c r="J557" s="260">
        <f/>
        <v/>
      </c>
      <c r="K557" s="260">
        <f/>
        <v/>
      </c>
      <c r="L557" s="260">
        <f/>
        <v/>
      </c>
    </row>
    <row r="558" ht="16.5" customHeight="1" s="124">
      <c r="A558" s="123">
        <f>[1]預算內選單資料來源!A558</f>
        <v/>
      </c>
      <c r="B558" s="260">
        <f>[1]預算內選單資料來源!B558</f>
        <v/>
      </c>
      <c r="C558" s="260">
        <f/>
        <v/>
      </c>
      <c r="D558" s="260">
        <f/>
        <v/>
      </c>
      <c r="E558" s="260">
        <f/>
        <v/>
      </c>
      <c r="F558" s="260" t="n"/>
      <c r="G558" s="260">
        <f/>
        <v/>
      </c>
      <c r="H558" s="260">
        <f/>
        <v/>
      </c>
      <c r="I558" s="260">
        <f/>
        <v/>
      </c>
      <c r="J558" s="260">
        <f/>
        <v/>
      </c>
      <c r="K558" s="260">
        <f/>
        <v/>
      </c>
      <c r="L558" s="260">
        <f/>
        <v/>
      </c>
    </row>
    <row r="559" ht="16.5" customHeight="1" s="124">
      <c r="A559" s="123">
        <f>[1]預算內選單資料來源!A559</f>
        <v/>
      </c>
      <c r="B559" s="260">
        <f>[1]預算內選單資料來源!B559</f>
        <v/>
      </c>
      <c r="C559" s="260">
        <f/>
        <v/>
      </c>
      <c r="D559" s="260">
        <f/>
        <v/>
      </c>
      <c r="E559" s="260">
        <f/>
        <v/>
      </c>
      <c r="F559" s="260" t="n"/>
      <c r="G559" s="260">
        <f/>
        <v/>
      </c>
      <c r="H559" s="260">
        <f/>
        <v/>
      </c>
      <c r="I559" s="260">
        <f/>
        <v/>
      </c>
      <c r="J559" s="260">
        <f/>
        <v/>
      </c>
      <c r="K559" s="260">
        <f/>
        <v/>
      </c>
      <c r="L559" s="260">
        <f/>
        <v/>
      </c>
    </row>
    <row r="560" ht="16.5" customHeight="1" s="124">
      <c r="A560" s="123">
        <f>[1]預算內選單資料來源!A560</f>
        <v/>
      </c>
      <c r="B560" s="260">
        <f>[1]預算內選單資料來源!B560</f>
        <v/>
      </c>
      <c r="C560" s="260">
        <f/>
        <v/>
      </c>
      <c r="D560" s="260">
        <f/>
        <v/>
      </c>
      <c r="E560" s="260">
        <f/>
        <v/>
      </c>
      <c r="F560" s="260" t="n"/>
      <c r="G560" s="260">
        <f/>
        <v/>
      </c>
      <c r="H560" s="260">
        <f/>
        <v/>
      </c>
      <c r="I560" s="260">
        <f/>
        <v/>
      </c>
      <c r="J560" s="260">
        <f/>
        <v/>
      </c>
      <c r="K560" s="260">
        <f/>
        <v/>
      </c>
      <c r="L560" s="260">
        <f/>
        <v/>
      </c>
    </row>
    <row r="561" ht="16.5" customHeight="1" s="124">
      <c r="A561" s="123">
        <f>[1]預算內選單資料來源!A561</f>
        <v/>
      </c>
      <c r="B561" s="260">
        <f>[1]預算內選單資料來源!B561</f>
        <v/>
      </c>
      <c r="C561" s="260">
        <f/>
        <v/>
      </c>
      <c r="D561" s="260">
        <f/>
        <v/>
      </c>
      <c r="E561" s="260">
        <f/>
        <v/>
      </c>
      <c r="F561" s="260" t="n"/>
      <c r="G561" s="260">
        <f/>
        <v/>
      </c>
      <c r="H561" s="260">
        <f/>
        <v/>
      </c>
      <c r="I561" s="260">
        <f/>
        <v/>
      </c>
      <c r="J561" s="260">
        <f/>
        <v/>
      </c>
      <c r="K561" s="260">
        <f/>
        <v/>
      </c>
      <c r="L561" s="260">
        <f/>
        <v/>
      </c>
    </row>
    <row r="562" ht="16.5" customHeight="1" s="124">
      <c r="A562" s="123">
        <f>[1]預算內選單資料來源!A562</f>
        <v/>
      </c>
      <c r="B562" s="260">
        <f>[1]預算內選單資料來源!B562</f>
        <v/>
      </c>
      <c r="C562" s="260">
        <f/>
        <v/>
      </c>
      <c r="D562" s="260">
        <f/>
        <v/>
      </c>
      <c r="E562" s="260">
        <f/>
        <v/>
      </c>
      <c r="F562" s="260" t="n"/>
      <c r="G562" s="260">
        <f/>
        <v/>
      </c>
      <c r="H562" s="260">
        <f/>
        <v/>
      </c>
      <c r="I562" s="260">
        <f/>
        <v/>
      </c>
      <c r="J562" s="260">
        <f/>
        <v/>
      </c>
      <c r="K562" s="260">
        <f/>
        <v/>
      </c>
      <c r="L562" s="260">
        <f/>
        <v/>
      </c>
    </row>
    <row r="563" ht="16.5" customHeight="1" s="124">
      <c r="A563" s="123">
        <f>[1]預算內選單資料來源!A563</f>
        <v/>
      </c>
      <c r="B563" s="260">
        <f>[1]預算內選單資料來源!B563</f>
        <v/>
      </c>
      <c r="C563" s="260">
        <f/>
        <v/>
      </c>
      <c r="D563" s="260">
        <f/>
        <v/>
      </c>
      <c r="E563" s="260">
        <f/>
        <v/>
      </c>
      <c r="F563" s="260" t="n"/>
      <c r="G563" s="260">
        <f/>
        <v/>
      </c>
      <c r="H563" s="260">
        <f/>
        <v/>
      </c>
      <c r="I563" s="260">
        <f/>
        <v/>
      </c>
      <c r="J563" s="260">
        <f/>
        <v/>
      </c>
      <c r="K563" s="260">
        <f/>
        <v/>
      </c>
      <c r="L563" s="260">
        <f/>
        <v/>
      </c>
    </row>
    <row r="564" ht="16.5" customHeight="1" s="124">
      <c r="A564" s="123">
        <f>[1]預算內選單資料來源!A564</f>
        <v/>
      </c>
      <c r="B564" s="260">
        <f>[1]預算內選單資料來源!B564</f>
        <v/>
      </c>
      <c r="C564" s="260">
        <f/>
        <v/>
      </c>
      <c r="D564" s="260">
        <f/>
        <v/>
      </c>
      <c r="E564" s="260">
        <f/>
        <v/>
      </c>
      <c r="F564" s="260" t="n"/>
      <c r="G564" s="260">
        <f/>
        <v/>
      </c>
      <c r="H564" s="260">
        <f/>
        <v/>
      </c>
      <c r="I564" s="260">
        <f/>
        <v/>
      </c>
      <c r="J564" s="260">
        <f/>
        <v/>
      </c>
      <c r="K564" s="260">
        <f/>
        <v/>
      </c>
      <c r="L564" s="260">
        <f/>
        <v/>
      </c>
    </row>
    <row r="565" ht="16.5" customHeight="1" s="124">
      <c r="A565" s="123">
        <f>[1]預算內選單資料來源!A565</f>
        <v/>
      </c>
      <c r="B565" s="260">
        <f>[1]預算內選單資料來源!B565</f>
        <v/>
      </c>
      <c r="C565" s="260">
        <f/>
        <v/>
      </c>
      <c r="D565" s="260">
        <f/>
        <v/>
      </c>
      <c r="E565" s="260">
        <f/>
        <v/>
      </c>
      <c r="F565" s="260" t="n"/>
      <c r="G565" s="260">
        <f/>
        <v/>
      </c>
      <c r="H565" s="260">
        <f/>
        <v/>
      </c>
      <c r="I565" s="260">
        <f/>
        <v/>
      </c>
      <c r="J565" s="260">
        <f/>
        <v/>
      </c>
      <c r="K565" s="260">
        <f/>
        <v/>
      </c>
      <c r="L565" s="260">
        <f/>
        <v/>
      </c>
    </row>
    <row r="566" ht="16.5" customHeight="1" s="124">
      <c r="A566" s="123">
        <f>[1]預算內選單資料來源!A566</f>
        <v/>
      </c>
      <c r="B566" s="260">
        <f>[1]預算內選單資料來源!B566</f>
        <v/>
      </c>
      <c r="C566" s="260">
        <f/>
        <v/>
      </c>
      <c r="D566" s="260">
        <f/>
        <v/>
      </c>
      <c r="E566" s="260">
        <f/>
        <v/>
      </c>
      <c r="F566" s="260" t="n"/>
      <c r="G566" s="260">
        <f/>
        <v/>
      </c>
      <c r="H566" s="260">
        <f/>
        <v/>
      </c>
      <c r="I566" s="260">
        <f/>
        <v/>
      </c>
      <c r="J566" s="260">
        <f/>
        <v/>
      </c>
      <c r="K566" s="260">
        <f/>
        <v/>
      </c>
      <c r="L566" s="260">
        <f/>
        <v/>
      </c>
    </row>
    <row r="567" ht="16.5" customHeight="1" s="124">
      <c r="A567" s="123">
        <f>[1]預算內選單資料來源!A567</f>
        <v/>
      </c>
      <c r="B567" s="260">
        <f>[1]預算內選單資料來源!B567</f>
        <v/>
      </c>
      <c r="C567" s="260">
        <f/>
        <v/>
      </c>
      <c r="D567" s="260">
        <f/>
        <v/>
      </c>
      <c r="E567" s="260">
        <f/>
        <v/>
      </c>
      <c r="F567" s="260" t="n"/>
      <c r="G567" s="260">
        <f/>
        <v/>
      </c>
      <c r="H567" s="260">
        <f/>
        <v/>
      </c>
      <c r="I567" s="260">
        <f/>
        <v/>
      </c>
      <c r="J567" s="260">
        <f/>
        <v/>
      </c>
      <c r="K567" s="260">
        <f/>
        <v/>
      </c>
      <c r="L567" s="260">
        <f/>
        <v/>
      </c>
    </row>
    <row r="568" ht="16.5" customHeight="1" s="124">
      <c r="A568" s="123">
        <f>[1]預算內選單資料來源!A568</f>
        <v/>
      </c>
      <c r="B568" s="260">
        <f>[1]預算內選單資料來源!B568</f>
        <v/>
      </c>
      <c r="C568" s="260">
        <f/>
        <v/>
      </c>
      <c r="D568" s="260">
        <f/>
        <v/>
      </c>
      <c r="E568" s="260">
        <f/>
        <v/>
      </c>
      <c r="F568" s="260" t="n"/>
      <c r="G568" s="260">
        <f/>
        <v/>
      </c>
      <c r="H568" s="260">
        <f/>
        <v/>
      </c>
      <c r="I568" s="260">
        <f/>
        <v/>
      </c>
      <c r="J568" s="260">
        <f/>
        <v/>
      </c>
      <c r="K568" s="260">
        <f/>
        <v/>
      </c>
      <c r="L568" s="260">
        <f/>
        <v/>
      </c>
    </row>
    <row r="569" ht="16.5" customHeight="1" s="124">
      <c r="A569" s="123">
        <f>[1]預算內選單資料來源!A569</f>
        <v/>
      </c>
      <c r="B569" s="260">
        <f>[1]預算內選單資料來源!B569</f>
        <v/>
      </c>
      <c r="C569" s="260">
        <f/>
        <v/>
      </c>
      <c r="D569" s="260">
        <f/>
        <v/>
      </c>
      <c r="E569" s="260">
        <f/>
        <v/>
      </c>
      <c r="F569" s="260" t="n"/>
      <c r="G569" s="260">
        <f/>
        <v/>
      </c>
      <c r="H569" s="260">
        <f/>
        <v/>
      </c>
      <c r="I569" s="260">
        <f/>
        <v/>
      </c>
      <c r="J569" s="260">
        <f/>
        <v/>
      </c>
      <c r="K569" s="260">
        <f/>
        <v/>
      </c>
      <c r="L569" s="260">
        <f/>
        <v/>
      </c>
    </row>
    <row r="570" ht="16.5" customHeight="1" s="124">
      <c r="A570" s="123">
        <f>[1]預算內選單資料來源!A570</f>
        <v/>
      </c>
      <c r="B570" s="260">
        <f>[1]預算內選單資料來源!B570</f>
        <v/>
      </c>
      <c r="C570" s="260">
        <f/>
        <v/>
      </c>
      <c r="D570" s="260">
        <f/>
        <v/>
      </c>
      <c r="E570" s="260">
        <f/>
        <v/>
      </c>
      <c r="F570" s="260" t="n"/>
      <c r="G570" s="260">
        <f/>
        <v/>
      </c>
      <c r="H570" s="260">
        <f/>
        <v/>
      </c>
      <c r="I570" s="260">
        <f/>
        <v/>
      </c>
      <c r="J570" s="260">
        <f/>
        <v/>
      </c>
      <c r="K570" s="260">
        <f/>
        <v/>
      </c>
      <c r="L570" s="260">
        <f/>
        <v/>
      </c>
    </row>
    <row r="571" ht="16.5" customHeight="1" s="124">
      <c r="A571" s="123">
        <f>[1]預算內選單資料來源!A571</f>
        <v/>
      </c>
      <c r="B571" s="260">
        <f>[1]預算內選單資料來源!B571</f>
        <v/>
      </c>
      <c r="C571" s="260">
        <f/>
        <v/>
      </c>
      <c r="D571" s="260">
        <f/>
        <v/>
      </c>
      <c r="E571" s="260">
        <f/>
        <v/>
      </c>
      <c r="F571" s="260" t="n"/>
      <c r="G571" s="260">
        <f/>
        <v/>
      </c>
      <c r="H571" s="260">
        <f/>
        <v/>
      </c>
      <c r="I571" s="260">
        <f/>
        <v/>
      </c>
      <c r="J571" s="260">
        <f/>
        <v/>
      </c>
      <c r="K571" s="260">
        <f/>
        <v/>
      </c>
      <c r="L571" s="260">
        <f/>
        <v/>
      </c>
    </row>
    <row r="572" ht="16.5" customHeight="1" s="124">
      <c r="A572" s="123">
        <f>[1]預算內選單資料來源!A572</f>
        <v/>
      </c>
      <c r="B572" s="260">
        <f>[1]預算內選單資料來源!B572</f>
        <v/>
      </c>
      <c r="C572" s="260">
        <f/>
        <v/>
      </c>
      <c r="D572" s="260">
        <f/>
        <v/>
      </c>
      <c r="E572" s="260">
        <f/>
        <v/>
      </c>
      <c r="F572" s="260" t="n"/>
      <c r="G572" s="260">
        <f/>
        <v/>
      </c>
      <c r="H572" s="260">
        <f/>
        <v/>
      </c>
      <c r="I572" s="260">
        <f/>
        <v/>
      </c>
      <c r="J572" s="260">
        <f/>
        <v/>
      </c>
      <c r="K572" s="260">
        <f/>
        <v/>
      </c>
      <c r="L572" s="260">
        <f/>
        <v/>
      </c>
    </row>
    <row r="573" ht="16.5" customHeight="1" s="124">
      <c r="A573" s="123">
        <f>[1]預算內選單資料來源!A573</f>
        <v/>
      </c>
      <c r="B573" s="260">
        <f>[1]預算內選單資料來源!B573</f>
        <v/>
      </c>
      <c r="C573" s="260">
        <f/>
        <v/>
      </c>
      <c r="D573" s="260">
        <f/>
        <v/>
      </c>
      <c r="E573" s="260">
        <f/>
        <v/>
      </c>
      <c r="F573" s="260" t="n"/>
      <c r="G573" s="260">
        <f/>
        <v/>
      </c>
      <c r="H573" s="260">
        <f/>
        <v/>
      </c>
      <c r="I573" s="260">
        <f/>
        <v/>
      </c>
      <c r="J573" s="260">
        <f/>
        <v/>
      </c>
      <c r="K573" s="260">
        <f/>
        <v/>
      </c>
      <c r="L573" s="260">
        <f/>
        <v/>
      </c>
    </row>
    <row r="574" ht="16.5" customHeight="1" s="124">
      <c r="A574" s="123">
        <f>[1]預算內選單資料來源!A574</f>
        <v/>
      </c>
      <c r="B574" s="260">
        <f>[1]預算內選單資料來源!B574</f>
        <v/>
      </c>
      <c r="C574" s="260">
        <f/>
        <v/>
      </c>
      <c r="D574" s="260">
        <f/>
        <v/>
      </c>
      <c r="E574" s="260">
        <f/>
        <v/>
      </c>
      <c r="F574" s="260" t="n"/>
      <c r="G574" s="260">
        <f/>
        <v/>
      </c>
      <c r="H574" s="260">
        <f/>
        <v/>
      </c>
      <c r="I574" s="260">
        <f/>
        <v/>
      </c>
      <c r="J574" s="260">
        <f/>
        <v/>
      </c>
      <c r="K574" s="260">
        <f/>
        <v/>
      </c>
      <c r="L574" s="260">
        <f/>
        <v/>
      </c>
    </row>
    <row r="575" ht="16.5" customHeight="1" s="124">
      <c r="A575" s="123">
        <f>[1]預算內選單資料來源!A575</f>
        <v/>
      </c>
      <c r="B575" s="260">
        <f>[1]預算內選單資料來源!B575</f>
        <v/>
      </c>
      <c r="C575" s="260">
        <f/>
        <v/>
      </c>
      <c r="D575" s="260">
        <f/>
        <v/>
      </c>
      <c r="E575" s="260">
        <f/>
        <v/>
      </c>
      <c r="F575" s="260" t="n"/>
      <c r="G575" s="260">
        <f/>
        <v/>
      </c>
      <c r="H575" s="260">
        <f/>
        <v/>
      </c>
      <c r="I575" s="260">
        <f/>
        <v/>
      </c>
      <c r="J575" s="260">
        <f/>
        <v/>
      </c>
      <c r="K575" s="260">
        <f/>
        <v/>
      </c>
      <c r="L575" s="260">
        <f/>
        <v/>
      </c>
    </row>
    <row r="576" ht="16.5" customHeight="1" s="124">
      <c r="A576" s="123">
        <f>[1]預算內選單資料來源!A576</f>
        <v/>
      </c>
      <c r="B576" s="260">
        <f>[1]預算內選單資料來源!B576</f>
        <v/>
      </c>
      <c r="C576" s="260">
        <f/>
        <v/>
      </c>
      <c r="D576" s="260">
        <f/>
        <v/>
      </c>
      <c r="E576" s="260">
        <f/>
        <v/>
      </c>
      <c r="F576" s="260" t="n"/>
      <c r="G576" s="260">
        <f/>
        <v/>
      </c>
      <c r="H576" s="260">
        <f/>
        <v/>
      </c>
      <c r="I576" s="260">
        <f/>
        <v/>
      </c>
      <c r="J576" s="260">
        <f/>
        <v/>
      </c>
      <c r="K576" s="260">
        <f/>
        <v/>
      </c>
      <c r="L576" s="260">
        <f/>
        <v/>
      </c>
    </row>
    <row r="577" ht="16.5" customHeight="1" s="124">
      <c r="A577" s="123">
        <f>[1]預算內選單資料來源!A577</f>
        <v/>
      </c>
      <c r="B577" s="260">
        <f>[1]預算內選單資料來源!B577</f>
        <v/>
      </c>
      <c r="C577" s="260">
        <f/>
        <v/>
      </c>
      <c r="D577" s="260">
        <f/>
        <v/>
      </c>
      <c r="E577" s="260">
        <f/>
        <v/>
      </c>
      <c r="F577" s="260" t="n"/>
      <c r="G577" s="260">
        <f/>
        <v/>
      </c>
      <c r="H577" s="260">
        <f/>
        <v/>
      </c>
      <c r="I577" s="260">
        <f/>
        <v/>
      </c>
      <c r="J577" s="260">
        <f/>
        <v/>
      </c>
      <c r="K577" s="260">
        <f/>
        <v/>
      </c>
      <c r="L577" s="260">
        <f/>
        <v/>
      </c>
    </row>
    <row r="578" ht="16.5" customHeight="1" s="124">
      <c r="A578" s="123">
        <f>[1]預算內選單資料來源!A578</f>
        <v/>
      </c>
      <c r="B578" s="260">
        <f>[1]預算內選單資料來源!B578</f>
        <v/>
      </c>
      <c r="C578" s="260">
        <f/>
        <v/>
      </c>
      <c r="D578" s="260">
        <f/>
        <v/>
      </c>
      <c r="E578" s="260">
        <f/>
        <v/>
      </c>
      <c r="F578" s="260" t="n"/>
      <c r="G578" s="260">
        <f/>
        <v/>
      </c>
      <c r="H578" s="260">
        <f/>
        <v/>
      </c>
      <c r="I578" s="260">
        <f/>
        <v/>
      </c>
      <c r="J578" s="260">
        <f/>
        <v/>
      </c>
      <c r="K578" s="260">
        <f/>
        <v/>
      </c>
      <c r="L578" s="260">
        <f/>
        <v/>
      </c>
    </row>
    <row r="579" ht="16.5" customHeight="1" s="124">
      <c r="A579" s="123">
        <f>[1]預算內選單資料來源!A579</f>
        <v/>
      </c>
      <c r="B579" s="260">
        <f>[1]預算內選單資料來源!B579</f>
        <v/>
      </c>
      <c r="C579" s="260">
        <f/>
        <v/>
      </c>
      <c r="D579" s="260">
        <f/>
        <v/>
      </c>
      <c r="E579" s="260">
        <f/>
        <v/>
      </c>
      <c r="F579" s="260" t="n"/>
      <c r="G579" s="260">
        <f/>
        <v/>
      </c>
      <c r="H579" s="260">
        <f/>
        <v/>
      </c>
      <c r="I579" s="260">
        <f/>
        <v/>
      </c>
      <c r="J579" s="260">
        <f/>
        <v/>
      </c>
      <c r="K579" s="260">
        <f/>
        <v/>
      </c>
      <c r="L579" s="260">
        <f/>
        <v/>
      </c>
    </row>
    <row r="580" ht="16.5" customHeight="1" s="124">
      <c r="A580" s="123">
        <f>[1]預算內選單資料來源!A580</f>
        <v/>
      </c>
      <c r="B580" s="260">
        <f>[1]預算內選單資料來源!B580</f>
        <v/>
      </c>
      <c r="C580" s="260">
        <f/>
        <v/>
      </c>
      <c r="D580" s="260">
        <f/>
        <v/>
      </c>
      <c r="E580" s="260">
        <f/>
        <v/>
      </c>
      <c r="F580" s="260" t="n"/>
      <c r="G580" s="260">
        <f/>
        <v/>
      </c>
      <c r="H580" s="260">
        <f/>
        <v/>
      </c>
      <c r="I580" s="260">
        <f/>
        <v/>
      </c>
      <c r="J580" s="260">
        <f/>
        <v/>
      </c>
      <c r="K580" s="260">
        <f/>
        <v/>
      </c>
      <c r="L580" s="260">
        <f/>
        <v/>
      </c>
    </row>
    <row r="581" ht="16.5" customHeight="1" s="124">
      <c r="A581" s="123">
        <f>[1]預算內選單資料來源!A581</f>
        <v/>
      </c>
      <c r="B581" s="260">
        <f>[1]預算內選單資料來源!B581</f>
        <v/>
      </c>
      <c r="C581" s="260">
        <f/>
        <v/>
      </c>
      <c r="D581" s="260">
        <f/>
        <v/>
      </c>
      <c r="E581" s="260">
        <f/>
        <v/>
      </c>
      <c r="F581" s="260" t="n"/>
      <c r="G581" s="260">
        <f/>
        <v/>
      </c>
      <c r="H581" s="260">
        <f/>
        <v/>
      </c>
      <c r="I581" s="260">
        <f/>
        <v/>
      </c>
      <c r="J581" s="260">
        <f/>
        <v/>
      </c>
      <c r="K581" s="260">
        <f/>
        <v/>
      </c>
      <c r="L581" s="260">
        <f/>
        <v/>
      </c>
    </row>
    <row r="582" ht="16.5" customHeight="1" s="124">
      <c r="A582" s="123">
        <f>[1]預算內選單資料來源!A582</f>
        <v/>
      </c>
      <c r="B582" s="260">
        <f>[1]預算內選單資料來源!B582</f>
        <v/>
      </c>
      <c r="C582" s="260">
        <f/>
        <v/>
      </c>
      <c r="D582" s="260">
        <f/>
        <v/>
      </c>
      <c r="E582" s="260">
        <f/>
        <v/>
      </c>
      <c r="F582" s="260" t="n"/>
      <c r="G582" s="260">
        <f/>
        <v/>
      </c>
      <c r="H582" s="260">
        <f/>
        <v/>
      </c>
      <c r="I582" s="260">
        <f/>
        <v/>
      </c>
      <c r="J582" s="260">
        <f/>
        <v/>
      </c>
      <c r="K582" s="260">
        <f/>
        <v/>
      </c>
      <c r="L582" s="260">
        <f/>
        <v/>
      </c>
    </row>
    <row r="583" ht="16.5" customHeight="1" s="124">
      <c r="A583" s="123">
        <f>[1]預算內選單資料來源!A583</f>
        <v/>
      </c>
      <c r="B583" s="260">
        <f>[1]預算內選單資料來源!B583</f>
        <v/>
      </c>
      <c r="C583" s="260">
        <f/>
        <v/>
      </c>
      <c r="D583" s="260">
        <f/>
        <v/>
      </c>
      <c r="E583" s="260">
        <f/>
        <v/>
      </c>
      <c r="F583" s="260" t="n"/>
      <c r="G583" s="260">
        <f/>
        <v/>
      </c>
      <c r="H583" s="260">
        <f/>
        <v/>
      </c>
      <c r="I583" s="260">
        <f/>
        <v/>
      </c>
      <c r="J583" s="260">
        <f/>
        <v/>
      </c>
      <c r="K583" s="260">
        <f/>
        <v/>
      </c>
      <c r="L583" s="260">
        <f/>
        <v/>
      </c>
    </row>
    <row r="584" ht="16.5" customHeight="1" s="124">
      <c r="A584" s="123">
        <f>[1]預算內選單資料來源!A584</f>
        <v/>
      </c>
      <c r="B584" s="260">
        <f>[1]預算內選單資料來源!B584</f>
        <v/>
      </c>
      <c r="C584" s="260">
        <f/>
        <v/>
      </c>
      <c r="D584" s="260">
        <f/>
        <v/>
      </c>
      <c r="E584" s="260">
        <f/>
        <v/>
      </c>
      <c r="F584" s="260" t="n"/>
      <c r="G584" s="260">
        <f/>
        <v/>
      </c>
      <c r="H584" s="260">
        <f/>
        <v/>
      </c>
      <c r="I584" s="260">
        <f/>
        <v/>
      </c>
      <c r="J584" s="260">
        <f/>
        <v/>
      </c>
      <c r="K584" s="260">
        <f/>
        <v/>
      </c>
      <c r="L584" s="260">
        <f/>
        <v/>
      </c>
    </row>
    <row r="585" ht="16.5" customHeight="1" s="124">
      <c r="A585" s="123">
        <f>[1]預算內選單資料來源!A585</f>
        <v/>
      </c>
      <c r="B585" s="260">
        <f>[1]預算內選單資料來源!B585</f>
        <v/>
      </c>
      <c r="C585" s="260">
        <f/>
        <v/>
      </c>
      <c r="D585" s="260">
        <f/>
        <v/>
      </c>
      <c r="E585" s="260">
        <f/>
        <v/>
      </c>
      <c r="F585" s="260" t="n"/>
      <c r="G585" s="260">
        <f/>
        <v/>
      </c>
      <c r="H585" s="260">
        <f/>
        <v/>
      </c>
      <c r="I585" s="260">
        <f/>
        <v/>
      </c>
      <c r="J585" s="260">
        <f/>
        <v/>
      </c>
      <c r="K585" s="260">
        <f/>
        <v/>
      </c>
      <c r="L585" s="260">
        <f/>
        <v/>
      </c>
    </row>
    <row r="586" ht="16.5" customHeight="1" s="124">
      <c r="A586" s="123">
        <f>[1]預算內選單資料來源!A586</f>
        <v/>
      </c>
      <c r="B586" s="260">
        <f>[1]預算內選單資料來源!B586</f>
        <v/>
      </c>
      <c r="C586" s="260">
        <f/>
        <v/>
      </c>
      <c r="D586" s="260">
        <f/>
        <v/>
      </c>
      <c r="E586" s="260">
        <f/>
        <v/>
      </c>
      <c r="F586" s="260" t="n"/>
      <c r="G586" s="260">
        <f/>
        <v/>
      </c>
      <c r="H586" s="260">
        <f/>
        <v/>
      </c>
      <c r="I586" s="260">
        <f/>
        <v/>
      </c>
      <c r="J586" s="260">
        <f/>
        <v/>
      </c>
      <c r="K586" s="260">
        <f/>
        <v/>
      </c>
      <c r="L586" s="260">
        <f/>
        <v/>
      </c>
    </row>
    <row r="587" ht="16.5" customHeight="1" s="124">
      <c r="A587" s="123">
        <f>[1]預算內選單資料來源!A587</f>
        <v/>
      </c>
      <c r="B587" s="260">
        <f>[1]預算內選單資料來源!B587</f>
        <v/>
      </c>
      <c r="C587" s="260">
        <f/>
        <v/>
      </c>
      <c r="D587" s="260">
        <f/>
        <v/>
      </c>
      <c r="E587" s="260">
        <f/>
        <v/>
      </c>
      <c r="F587" s="260" t="n"/>
      <c r="G587" s="260">
        <f/>
        <v/>
      </c>
      <c r="H587" s="260">
        <f/>
        <v/>
      </c>
      <c r="I587" s="260">
        <f/>
        <v/>
      </c>
      <c r="J587" s="260">
        <f/>
        <v/>
      </c>
      <c r="K587" s="260">
        <f/>
        <v/>
      </c>
      <c r="L587" s="260">
        <f/>
        <v/>
      </c>
    </row>
    <row r="588" ht="16.5" customHeight="1" s="124">
      <c r="A588" s="123">
        <f>[1]預算內選單資料來源!A588</f>
        <v/>
      </c>
      <c r="B588" s="260">
        <f>[1]預算內選單資料來源!B588</f>
        <v/>
      </c>
      <c r="C588" s="260">
        <f/>
        <v/>
      </c>
      <c r="D588" s="260">
        <f/>
        <v/>
      </c>
      <c r="E588" s="260">
        <f/>
        <v/>
      </c>
      <c r="F588" s="260" t="n"/>
      <c r="G588" s="260">
        <f/>
        <v/>
      </c>
      <c r="H588" s="260">
        <f/>
        <v/>
      </c>
      <c r="I588" s="260">
        <f/>
        <v/>
      </c>
      <c r="J588" s="260">
        <f/>
        <v/>
      </c>
      <c r="K588" s="260">
        <f/>
        <v/>
      </c>
      <c r="L588" s="260">
        <f/>
        <v/>
      </c>
    </row>
    <row r="589" ht="16.5" customHeight="1" s="124">
      <c r="A589" s="123">
        <f>[1]預算內選單資料來源!A589</f>
        <v/>
      </c>
      <c r="B589" s="260">
        <f>[1]預算內選單資料來源!B589</f>
        <v/>
      </c>
      <c r="C589" s="260">
        <f/>
        <v/>
      </c>
      <c r="D589" s="260">
        <f/>
        <v/>
      </c>
      <c r="E589" s="260">
        <f/>
        <v/>
      </c>
      <c r="F589" s="260" t="n"/>
      <c r="G589" s="260">
        <f/>
        <v/>
      </c>
      <c r="H589" s="260">
        <f/>
        <v/>
      </c>
      <c r="I589" s="260">
        <f/>
        <v/>
      </c>
      <c r="J589" s="260">
        <f/>
        <v/>
      </c>
      <c r="K589" s="260">
        <f/>
        <v/>
      </c>
      <c r="L589" s="260">
        <f/>
        <v/>
      </c>
    </row>
    <row r="590" ht="16.5" customHeight="1" s="124">
      <c r="A590" s="123">
        <f>[1]預算內選單資料來源!A590</f>
        <v/>
      </c>
      <c r="B590" s="260">
        <f>[1]預算內選單資料來源!B590</f>
        <v/>
      </c>
      <c r="C590" s="260">
        <f/>
        <v/>
      </c>
      <c r="D590" s="260">
        <f/>
        <v/>
      </c>
      <c r="E590" s="260">
        <f/>
        <v/>
      </c>
      <c r="F590" s="260" t="n"/>
      <c r="G590" s="260">
        <f/>
        <v/>
      </c>
      <c r="H590" s="260">
        <f/>
        <v/>
      </c>
      <c r="I590" s="260">
        <f/>
        <v/>
      </c>
      <c r="J590" s="260">
        <f/>
        <v/>
      </c>
      <c r="K590" s="260">
        <f/>
        <v/>
      </c>
      <c r="L590" s="260">
        <f/>
        <v/>
      </c>
    </row>
    <row r="591" ht="16.5" customHeight="1" s="124">
      <c r="A591" s="123">
        <f>[1]預算內選單資料來源!A591</f>
        <v/>
      </c>
      <c r="B591" s="260">
        <f>[1]預算內選單資料來源!B591</f>
        <v/>
      </c>
      <c r="C591" s="260">
        <f/>
        <v/>
      </c>
      <c r="D591" s="260">
        <f/>
        <v/>
      </c>
      <c r="E591" s="260">
        <f/>
        <v/>
      </c>
      <c r="F591" s="260" t="n"/>
      <c r="G591" s="260">
        <f/>
        <v/>
      </c>
      <c r="H591" s="260">
        <f/>
        <v/>
      </c>
      <c r="I591" s="260">
        <f/>
        <v/>
      </c>
      <c r="J591" s="260">
        <f/>
        <v/>
      </c>
      <c r="K591" s="260">
        <f/>
        <v/>
      </c>
      <c r="L591" s="260">
        <f/>
        <v/>
      </c>
    </row>
    <row r="592" ht="16.5" customHeight="1" s="124">
      <c r="A592" s="123">
        <f>[1]預算內選單資料來源!A592</f>
        <v/>
      </c>
      <c r="B592" s="260">
        <f>[1]預算內選單資料來源!B592</f>
        <v/>
      </c>
      <c r="C592" s="260">
        <f/>
        <v/>
      </c>
      <c r="D592" s="260">
        <f/>
        <v/>
      </c>
      <c r="E592" s="260">
        <f/>
        <v/>
      </c>
      <c r="F592" s="260" t="n"/>
      <c r="G592" s="260">
        <f/>
        <v/>
      </c>
      <c r="H592" s="260">
        <f/>
        <v/>
      </c>
      <c r="I592" s="260">
        <f/>
        <v/>
      </c>
      <c r="J592" s="260">
        <f/>
        <v/>
      </c>
      <c r="K592" s="260">
        <f/>
        <v/>
      </c>
      <c r="L592" s="260">
        <f/>
        <v/>
      </c>
    </row>
    <row r="593" ht="16.5" customHeight="1" s="124">
      <c r="A593" s="123">
        <f>[1]預算內選單資料來源!A593</f>
        <v/>
      </c>
      <c r="B593" s="260">
        <f>[1]預算內選單資料來源!B593</f>
        <v/>
      </c>
      <c r="C593" s="260">
        <f/>
        <v/>
      </c>
      <c r="D593" s="260">
        <f/>
        <v/>
      </c>
      <c r="E593" s="260">
        <f/>
        <v/>
      </c>
      <c r="F593" s="260" t="n"/>
      <c r="G593" s="260">
        <f/>
        <v/>
      </c>
      <c r="H593" s="260">
        <f/>
        <v/>
      </c>
      <c r="I593" s="260">
        <f/>
        <v/>
      </c>
      <c r="J593" s="260">
        <f/>
        <v/>
      </c>
      <c r="K593" s="260">
        <f/>
        <v/>
      </c>
      <c r="L593" s="260">
        <f/>
        <v/>
      </c>
    </row>
    <row r="594" ht="16.5" customHeight="1" s="124">
      <c r="A594" s="123">
        <f>[1]預算內選單資料來源!A594</f>
        <v/>
      </c>
      <c r="B594" s="260">
        <f>[1]預算內選單資料來源!B594</f>
        <v/>
      </c>
      <c r="C594" s="260">
        <f/>
        <v/>
      </c>
      <c r="D594" s="260">
        <f/>
        <v/>
      </c>
      <c r="E594" s="260">
        <f/>
        <v/>
      </c>
      <c r="F594" s="260" t="n"/>
      <c r="G594" s="260">
        <f/>
        <v/>
      </c>
      <c r="H594" s="260">
        <f/>
        <v/>
      </c>
      <c r="I594" s="260">
        <f/>
        <v/>
      </c>
      <c r="J594" s="260">
        <f/>
        <v/>
      </c>
      <c r="K594" s="260">
        <f/>
        <v/>
      </c>
      <c r="L594" s="260">
        <f/>
        <v/>
      </c>
    </row>
    <row r="595" ht="16.5" customHeight="1" s="124">
      <c r="A595" s="123">
        <f>[1]預算內選單資料來源!A595</f>
        <v/>
      </c>
      <c r="B595" s="260">
        <f>[1]預算內選單資料來源!B595</f>
        <v/>
      </c>
      <c r="C595" s="260">
        <f/>
        <v/>
      </c>
      <c r="D595" s="260">
        <f/>
        <v/>
      </c>
      <c r="E595" s="260">
        <f/>
        <v/>
      </c>
      <c r="F595" s="260" t="n"/>
      <c r="G595" s="260">
        <f/>
        <v/>
      </c>
      <c r="H595" s="260">
        <f/>
        <v/>
      </c>
      <c r="I595" s="260">
        <f/>
        <v/>
      </c>
      <c r="J595" s="260">
        <f/>
        <v/>
      </c>
      <c r="K595" s="260">
        <f/>
        <v/>
      </c>
      <c r="L595" s="260">
        <f/>
        <v/>
      </c>
    </row>
    <row r="596" ht="16.5" customHeight="1" s="124">
      <c r="A596" s="123">
        <f>[1]預算內選單資料來源!A596</f>
        <v/>
      </c>
      <c r="B596" s="260">
        <f>[1]預算內選單資料來源!B596</f>
        <v/>
      </c>
      <c r="C596" s="260">
        <f/>
        <v/>
      </c>
      <c r="D596" s="260">
        <f/>
        <v/>
      </c>
      <c r="E596" s="260">
        <f/>
        <v/>
      </c>
      <c r="F596" s="260" t="n"/>
      <c r="G596" s="260">
        <f/>
        <v/>
      </c>
      <c r="H596" s="260">
        <f/>
        <v/>
      </c>
      <c r="I596" s="260">
        <f/>
        <v/>
      </c>
      <c r="J596" s="260">
        <f/>
        <v/>
      </c>
      <c r="K596" s="260">
        <f/>
        <v/>
      </c>
      <c r="L596" s="260">
        <f/>
        <v/>
      </c>
    </row>
    <row r="597" ht="16.5" customHeight="1" s="124">
      <c r="A597" s="123">
        <f>[1]預算內選單資料來源!A597</f>
        <v/>
      </c>
      <c r="B597" s="260">
        <f>[1]預算內選單資料來源!B597</f>
        <v/>
      </c>
      <c r="C597" s="260">
        <f/>
        <v/>
      </c>
      <c r="D597" s="260">
        <f/>
        <v/>
      </c>
      <c r="E597" s="260">
        <f/>
        <v/>
      </c>
      <c r="F597" s="260" t="n"/>
      <c r="G597" s="260">
        <f/>
        <v/>
      </c>
      <c r="H597" s="260">
        <f/>
        <v/>
      </c>
      <c r="I597" s="260">
        <f/>
        <v/>
      </c>
      <c r="J597" s="260">
        <f/>
        <v/>
      </c>
      <c r="K597" s="260">
        <f/>
        <v/>
      </c>
      <c r="L597" s="260">
        <f/>
        <v/>
      </c>
    </row>
    <row r="598" ht="16.5" customHeight="1" s="124">
      <c r="A598" s="123">
        <f>[1]預算內選單資料來源!A598</f>
        <v/>
      </c>
      <c r="B598" s="260">
        <f>[1]預算內選單資料來源!B598</f>
        <v/>
      </c>
      <c r="C598" s="260">
        <f/>
        <v/>
      </c>
      <c r="D598" s="260">
        <f/>
        <v/>
      </c>
      <c r="E598" s="260">
        <f/>
        <v/>
      </c>
      <c r="F598" s="260" t="n"/>
      <c r="G598" s="260">
        <f/>
        <v/>
      </c>
      <c r="H598" s="260">
        <f/>
        <v/>
      </c>
      <c r="I598" s="260">
        <f/>
        <v/>
      </c>
      <c r="J598" s="260">
        <f/>
        <v/>
      </c>
      <c r="K598" s="260">
        <f/>
        <v/>
      </c>
      <c r="L598" s="260">
        <f/>
        <v/>
      </c>
    </row>
    <row r="599" ht="16.5" customHeight="1" s="124">
      <c r="A599" s="123">
        <f>[1]預算內選單資料來源!A599</f>
        <v/>
      </c>
      <c r="B599" s="260">
        <f>[1]預算內選單資料來源!B599</f>
        <v/>
      </c>
      <c r="C599" s="260">
        <f/>
        <v/>
      </c>
      <c r="D599" s="260">
        <f/>
        <v/>
      </c>
      <c r="E599" s="260">
        <f/>
        <v/>
      </c>
      <c r="F599" s="260" t="n"/>
      <c r="G599" s="260">
        <f/>
        <v/>
      </c>
      <c r="H599" s="260">
        <f/>
        <v/>
      </c>
      <c r="I599" s="260">
        <f/>
        <v/>
      </c>
      <c r="J599" s="260">
        <f/>
        <v/>
      </c>
      <c r="K599" s="260">
        <f/>
        <v/>
      </c>
      <c r="L599" s="260">
        <f/>
        <v/>
      </c>
    </row>
    <row r="600" ht="16.5" customHeight="1" s="124">
      <c r="A600" s="123">
        <f>[1]預算內選單資料來源!A600</f>
        <v/>
      </c>
      <c r="B600" s="260">
        <f>[1]預算內選單資料來源!B600</f>
        <v/>
      </c>
      <c r="C600" s="260">
        <f/>
        <v/>
      </c>
      <c r="D600" s="260">
        <f/>
        <v/>
      </c>
      <c r="E600" s="260">
        <f/>
        <v/>
      </c>
      <c r="F600" s="260" t="n"/>
      <c r="G600" s="260">
        <f/>
        <v/>
      </c>
      <c r="H600" s="260">
        <f/>
        <v/>
      </c>
      <c r="I600" s="260">
        <f/>
        <v/>
      </c>
      <c r="J600" s="260">
        <f/>
        <v/>
      </c>
      <c r="K600" s="260">
        <f/>
        <v/>
      </c>
      <c r="L600" s="260">
        <f/>
        <v/>
      </c>
    </row>
    <row r="601" ht="16.5" customHeight="1" s="124">
      <c r="A601" s="123">
        <f>[1]預算內選單資料來源!A601</f>
        <v/>
      </c>
      <c r="B601" s="260">
        <f>[1]預算內選單資料來源!B601</f>
        <v/>
      </c>
      <c r="C601" s="260">
        <f/>
        <v/>
      </c>
      <c r="D601" s="260">
        <f/>
        <v/>
      </c>
      <c r="E601" s="260">
        <f/>
        <v/>
      </c>
      <c r="F601" s="260" t="n"/>
      <c r="G601" s="260">
        <f/>
        <v/>
      </c>
      <c r="H601" s="260">
        <f/>
        <v/>
      </c>
      <c r="I601" s="260">
        <f/>
        <v/>
      </c>
      <c r="J601" s="260">
        <f/>
        <v/>
      </c>
      <c r="K601" s="260">
        <f/>
        <v/>
      </c>
      <c r="L601" s="260">
        <f/>
        <v/>
      </c>
    </row>
    <row r="602" ht="16.5" customHeight="1" s="124">
      <c r="A602" s="123">
        <f>[1]預算內選單資料來源!A602</f>
        <v/>
      </c>
      <c r="B602" s="260">
        <f>[1]預算內選單資料來源!B602</f>
        <v/>
      </c>
      <c r="C602" s="260">
        <f/>
        <v/>
      </c>
      <c r="D602" s="260">
        <f/>
        <v/>
      </c>
      <c r="E602" s="260">
        <f/>
        <v/>
      </c>
      <c r="F602" s="260" t="n"/>
      <c r="G602" s="260">
        <f/>
        <v/>
      </c>
      <c r="H602" s="260">
        <f/>
        <v/>
      </c>
      <c r="I602" s="260">
        <f/>
        <v/>
      </c>
      <c r="J602" s="260">
        <f/>
        <v/>
      </c>
      <c r="K602" s="260">
        <f/>
        <v/>
      </c>
      <c r="L602" s="260">
        <f/>
        <v/>
      </c>
    </row>
    <row r="603" ht="16.5" customHeight="1" s="124">
      <c r="A603" s="123">
        <f>[1]預算內選單資料來源!A603</f>
        <v/>
      </c>
      <c r="B603" s="260">
        <f>[1]預算內選單資料來源!B603</f>
        <v/>
      </c>
      <c r="C603" s="260">
        <f/>
        <v/>
      </c>
      <c r="D603" s="260">
        <f/>
        <v/>
      </c>
      <c r="E603" s="260">
        <f/>
        <v/>
      </c>
      <c r="F603" s="260" t="n"/>
      <c r="G603" s="260">
        <f/>
        <v/>
      </c>
      <c r="H603" s="260">
        <f/>
        <v/>
      </c>
      <c r="I603" s="260">
        <f/>
        <v/>
      </c>
      <c r="J603" s="260">
        <f/>
        <v/>
      </c>
      <c r="K603" s="260">
        <f/>
        <v/>
      </c>
      <c r="L603" s="260">
        <f/>
        <v/>
      </c>
    </row>
    <row r="604" ht="16.5" customHeight="1" s="124">
      <c r="A604" s="123">
        <f>[1]預算內選單資料來源!A604</f>
        <v/>
      </c>
      <c r="B604" s="260">
        <f>[1]預算內選單資料來源!B604</f>
        <v/>
      </c>
      <c r="C604" s="260">
        <f/>
        <v/>
      </c>
      <c r="D604" s="260">
        <f/>
        <v/>
      </c>
      <c r="E604" s="260">
        <f/>
        <v/>
      </c>
      <c r="F604" s="260" t="n"/>
      <c r="G604" s="260">
        <f/>
        <v/>
      </c>
      <c r="H604" s="260">
        <f/>
        <v/>
      </c>
      <c r="I604" s="260">
        <f/>
        <v/>
      </c>
      <c r="J604" s="260">
        <f/>
        <v/>
      </c>
      <c r="K604" s="260">
        <f/>
        <v/>
      </c>
      <c r="L604" s="260">
        <f/>
        <v/>
      </c>
    </row>
    <row r="605" ht="16.5" customHeight="1" s="124">
      <c r="A605" s="123">
        <f>[1]預算內選單資料來源!A605</f>
        <v/>
      </c>
      <c r="B605" s="260">
        <f>[1]預算內選單資料來源!B605</f>
        <v/>
      </c>
      <c r="C605" s="260">
        <f/>
        <v/>
      </c>
      <c r="D605" s="260">
        <f/>
        <v/>
      </c>
      <c r="E605" s="260">
        <f/>
        <v/>
      </c>
      <c r="F605" s="260" t="n"/>
      <c r="G605" s="260">
        <f/>
        <v/>
      </c>
      <c r="H605" s="260">
        <f/>
        <v/>
      </c>
      <c r="I605" s="260">
        <f/>
        <v/>
      </c>
      <c r="J605" s="260">
        <f/>
        <v/>
      </c>
      <c r="K605" s="260">
        <f/>
        <v/>
      </c>
      <c r="L605" s="260">
        <f/>
        <v/>
      </c>
    </row>
    <row r="606" ht="16.5" customHeight="1" s="124">
      <c r="A606" s="123">
        <f>[1]預算內選單資料來源!A606</f>
        <v/>
      </c>
      <c r="B606" s="260">
        <f>[1]預算內選單資料來源!B606</f>
        <v/>
      </c>
      <c r="C606" s="260">
        <f/>
        <v/>
      </c>
      <c r="D606" s="260">
        <f/>
        <v/>
      </c>
      <c r="E606" s="260">
        <f/>
        <v/>
      </c>
      <c r="F606" s="260" t="n"/>
      <c r="G606" s="260">
        <f/>
        <v/>
      </c>
      <c r="H606" s="260">
        <f/>
        <v/>
      </c>
      <c r="I606" s="260">
        <f/>
        <v/>
      </c>
      <c r="J606" s="260">
        <f/>
        <v/>
      </c>
      <c r="K606" s="260">
        <f/>
        <v/>
      </c>
      <c r="L606" s="260">
        <f/>
        <v/>
      </c>
    </row>
    <row r="607" ht="16.5" customHeight="1" s="124">
      <c r="A607" s="123">
        <f>[1]預算內選單資料來源!A607</f>
        <v/>
      </c>
      <c r="B607" s="260">
        <f>[1]預算內選單資料來源!B607</f>
        <v/>
      </c>
      <c r="C607" s="260">
        <f/>
        <v/>
      </c>
      <c r="D607" s="260">
        <f/>
        <v/>
      </c>
      <c r="E607" s="260">
        <f/>
        <v/>
      </c>
      <c r="F607" s="260" t="n"/>
      <c r="G607" s="260">
        <f/>
        <v/>
      </c>
      <c r="H607" s="260">
        <f/>
        <v/>
      </c>
      <c r="I607" s="260">
        <f/>
        <v/>
      </c>
      <c r="J607" s="260">
        <f/>
        <v/>
      </c>
      <c r="K607" s="260">
        <f/>
        <v/>
      </c>
      <c r="L607" s="260">
        <f/>
        <v/>
      </c>
    </row>
    <row r="608" ht="16.5" customHeight="1" s="124">
      <c r="A608" s="123">
        <f>[1]預算內選單資料來源!A608</f>
        <v/>
      </c>
      <c r="B608" s="260">
        <f>[1]預算內選單資料來源!B608</f>
        <v/>
      </c>
      <c r="C608" s="260">
        <f/>
        <v/>
      </c>
      <c r="D608" s="260">
        <f/>
        <v/>
      </c>
      <c r="E608" s="260">
        <f/>
        <v/>
      </c>
      <c r="F608" s="260" t="n"/>
      <c r="G608" s="260">
        <f/>
        <v/>
      </c>
      <c r="H608" s="260">
        <f/>
        <v/>
      </c>
      <c r="I608" s="260">
        <f/>
        <v/>
      </c>
      <c r="J608" s="260">
        <f/>
        <v/>
      </c>
      <c r="K608" s="260">
        <f/>
        <v/>
      </c>
      <c r="L608" s="260">
        <f/>
        <v/>
      </c>
    </row>
    <row r="609" ht="16.5" customHeight="1" s="124">
      <c r="A609" s="123">
        <f>[1]預算內選單資料來源!A609</f>
        <v/>
      </c>
      <c r="B609" s="260">
        <f>[1]預算內選單資料來源!B609</f>
        <v/>
      </c>
      <c r="C609" s="260">
        <f/>
        <v/>
      </c>
      <c r="D609" s="260">
        <f/>
        <v/>
      </c>
      <c r="E609" s="260">
        <f/>
        <v/>
      </c>
      <c r="F609" s="260" t="n"/>
      <c r="G609" s="260">
        <f/>
        <v/>
      </c>
      <c r="H609" s="260">
        <f/>
        <v/>
      </c>
      <c r="I609" s="260">
        <f/>
        <v/>
      </c>
      <c r="J609" s="260">
        <f/>
        <v/>
      </c>
      <c r="K609" s="260">
        <f/>
        <v/>
      </c>
      <c r="L609" s="260">
        <f/>
        <v/>
      </c>
    </row>
    <row r="610" ht="16.5" customHeight="1" s="124">
      <c r="A610" s="123">
        <f>[1]預算內選單資料來源!A610</f>
        <v/>
      </c>
      <c r="B610" s="260">
        <f>[1]預算內選單資料來源!B610</f>
        <v/>
      </c>
      <c r="C610" s="260">
        <f/>
        <v/>
      </c>
      <c r="D610" s="260">
        <f/>
        <v/>
      </c>
      <c r="E610" s="260">
        <f/>
        <v/>
      </c>
      <c r="F610" s="260" t="n"/>
      <c r="G610" s="260">
        <f/>
        <v/>
      </c>
      <c r="H610" s="260">
        <f/>
        <v/>
      </c>
      <c r="I610" s="260">
        <f/>
        <v/>
      </c>
      <c r="J610" s="260">
        <f/>
        <v/>
      </c>
      <c r="K610" s="260">
        <f/>
        <v/>
      </c>
      <c r="L610" s="260">
        <f/>
        <v/>
      </c>
    </row>
    <row r="611" ht="16.5" customHeight="1" s="124">
      <c r="A611" s="123">
        <f>[1]預算內選單資料來源!A611</f>
        <v/>
      </c>
      <c r="B611" s="260">
        <f>[1]預算內選單資料來源!B611</f>
        <v/>
      </c>
      <c r="C611" s="260">
        <f/>
        <v/>
      </c>
      <c r="D611" s="260">
        <f/>
        <v/>
      </c>
      <c r="E611" s="260">
        <f/>
        <v/>
      </c>
      <c r="F611" s="260" t="n"/>
      <c r="G611" s="260">
        <f/>
        <v/>
      </c>
      <c r="H611" s="260">
        <f/>
        <v/>
      </c>
      <c r="I611" s="260">
        <f/>
        <v/>
      </c>
      <c r="J611" s="260">
        <f/>
        <v/>
      </c>
      <c r="K611" s="260">
        <f/>
        <v/>
      </c>
      <c r="L611" s="260">
        <f/>
        <v/>
      </c>
    </row>
    <row r="612" ht="16.5" customHeight="1" s="124">
      <c r="A612" s="123">
        <f>[1]預算內選單資料來源!A612</f>
        <v/>
      </c>
      <c r="B612" s="260">
        <f>[1]預算內選單資料來源!B612</f>
        <v/>
      </c>
      <c r="C612" s="260">
        <f/>
        <v/>
      </c>
      <c r="D612" s="260">
        <f/>
        <v/>
      </c>
      <c r="E612" s="260">
        <f/>
        <v/>
      </c>
      <c r="F612" s="260" t="n"/>
      <c r="G612" s="260">
        <f/>
        <v/>
      </c>
      <c r="H612" s="260">
        <f/>
        <v/>
      </c>
      <c r="I612" s="260">
        <f/>
        <v/>
      </c>
      <c r="J612" s="260">
        <f/>
        <v/>
      </c>
      <c r="K612" s="260">
        <f/>
        <v/>
      </c>
      <c r="L612" s="260">
        <f/>
        <v/>
      </c>
    </row>
    <row r="613" ht="16.5" customHeight="1" s="124">
      <c r="A613" s="123">
        <f>[1]預算內選單資料來源!A613</f>
        <v/>
      </c>
      <c r="B613" s="260">
        <f>[1]預算內選單資料來源!B613</f>
        <v/>
      </c>
      <c r="C613" s="260">
        <f/>
        <v/>
      </c>
      <c r="D613" s="260">
        <f/>
        <v/>
      </c>
      <c r="E613" s="260">
        <f/>
        <v/>
      </c>
      <c r="F613" s="260" t="n"/>
      <c r="G613" s="260">
        <f/>
        <v/>
      </c>
      <c r="H613" s="260">
        <f/>
        <v/>
      </c>
      <c r="I613" s="260">
        <f/>
        <v/>
      </c>
      <c r="J613" s="260">
        <f/>
        <v/>
      </c>
      <c r="K613" s="260">
        <f/>
        <v/>
      </c>
      <c r="L613" s="260">
        <f/>
        <v/>
      </c>
    </row>
    <row r="614" ht="16.5" customHeight="1" s="124">
      <c r="A614" s="123">
        <f>[1]預算內選單資料來源!A614</f>
        <v/>
      </c>
      <c r="B614" s="260">
        <f>[1]預算內選單資料來源!B614</f>
        <v/>
      </c>
      <c r="C614" s="260">
        <f/>
        <v/>
      </c>
      <c r="D614" s="260">
        <f/>
        <v/>
      </c>
      <c r="E614" s="260">
        <f/>
        <v/>
      </c>
      <c r="F614" s="260" t="n"/>
      <c r="G614" s="260">
        <f/>
        <v/>
      </c>
      <c r="H614" s="260">
        <f/>
        <v/>
      </c>
      <c r="I614" s="260">
        <f/>
        <v/>
      </c>
      <c r="J614" s="260">
        <f/>
        <v/>
      </c>
      <c r="K614" s="260">
        <f/>
        <v/>
      </c>
      <c r="L614" s="260">
        <f/>
        <v/>
      </c>
    </row>
    <row r="615" ht="16.5" customHeight="1" s="124">
      <c r="A615" s="123">
        <f>[1]預算內選單資料來源!A615</f>
        <v/>
      </c>
      <c r="B615" s="260">
        <f>[1]預算內選單資料來源!B615</f>
        <v/>
      </c>
      <c r="C615" s="260">
        <f/>
        <v/>
      </c>
      <c r="D615" s="260">
        <f/>
        <v/>
      </c>
      <c r="E615" s="260">
        <f/>
        <v/>
      </c>
      <c r="F615" s="260" t="n"/>
      <c r="G615" s="260">
        <f/>
        <v/>
      </c>
      <c r="H615" s="260">
        <f/>
        <v/>
      </c>
      <c r="I615" s="260">
        <f/>
        <v/>
      </c>
      <c r="J615" s="260">
        <f/>
        <v/>
      </c>
      <c r="K615" s="260">
        <f/>
        <v/>
      </c>
      <c r="L615" s="260">
        <f/>
        <v/>
      </c>
    </row>
    <row r="616" ht="16.5" customHeight="1" s="124">
      <c r="A616" s="123">
        <f>[1]預算內選單資料來源!A616</f>
        <v/>
      </c>
      <c r="B616" s="260">
        <f>[1]預算內選單資料來源!B616</f>
        <v/>
      </c>
      <c r="C616" s="260">
        <f/>
        <v/>
      </c>
      <c r="D616" s="260">
        <f/>
        <v/>
      </c>
      <c r="E616" s="260">
        <f/>
        <v/>
      </c>
      <c r="F616" s="260" t="n"/>
      <c r="G616" s="260">
        <f/>
        <v/>
      </c>
      <c r="H616" s="260">
        <f/>
        <v/>
      </c>
      <c r="I616" s="260">
        <f/>
        <v/>
      </c>
      <c r="J616" s="260">
        <f/>
        <v/>
      </c>
      <c r="K616" s="260">
        <f/>
        <v/>
      </c>
      <c r="L616" s="260">
        <f/>
        <v/>
      </c>
    </row>
    <row r="617" ht="16.5" customHeight="1" s="124">
      <c r="A617" s="123">
        <f>[1]預算內選單資料來源!A617</f>
        <v/>
      </c>
      <c r="B617" s="260">
        <f>[1]預算內選單資料來源!B617</f>
        <v/>
      </c>
      <c r="C617" s="260">
        <f/>
        <v/>
      </c>
      <c r="D617" s="260">
        <f/>
        <v/>
      </c>
      <c r="E617" s="260">
        <f/>
        <v/>
      </c>
      <c r="F617" s="260" t="n"/>
      <c r="G617" s="260">
        <f/>
        <v/>
      </c>
      <c r="H617" s="260">
        <f/>
        <v/>
      </c>
      <c r="I617" s="260">
        <f/>
        <v/>
      </c>
      <c r="J617" s="260">
        <f/>
        <v/>
      </c>
      <c r="K617" s="260">
        <f/>
        <v/>
      </c>
      <c r="L617" s="260">
        <f/>
        <v/>
      </c>
    </row>
    <row r="618" ht="16.5" customHeight="1" s="124">
      <c r="A618" s="123">
        <f>[1]預算內選單資料來源!A618</f>
        <v/>
      </c>
      <c r="B618" s="260">
        <f>[1]預算內選單資料來源!B618</f>
        <v/>
      </c>
      <c r="C618" s="260">
        <f/>
        <v/>
      </c>
      <c r="D618" s="260">
        <f/>
        <v/>
      </c>
      <c r="E618" s="260">
        <f/>
        <v/>
      </c>
      <c r="F618" s="260" t="n"/>
      <c r="G618" s="260">
        <f/>
        <v/>
      </c>
      <c r="H618" s="260">
        <f/>
        <v/>
      </c>
      <c r="I618" s="260">
        <f/>
        <v/>
      </c>
      <c r="J618" s="260">
        <f/>
        <v/>
      </c>
      <c r="K618" s="260">
        <f/>
        <v/>
      </c>
      <c r="L618" s="260">
        <f/>
        <v/>
      </c>
    </row>
    <row r="619" ht="16.5" customHeight="1" s="124">
      <c r="A619" s="123">
        <f>[1]預算內選單資料來源!A619</f>
        <v/>
      </c>
      <c r="B619" s="260">
        <f>[1]預算內選單資料來源!B619</f>
        <v/>
      </c>
      <c r="C619" s="260">
        <f/>
        <v/>
      </c>
      <c r="D619" s="260">
        <f/>
        <v/>
      </c>
      <c r="E619" s="260">
        <f/>
        <v/>
      </c>
      <c r="F619" s="260" t="n"/>
      <c r="G619" s="260">
        <f/>
        <v/>
      </c>
      <c r="H619" s="260">
        <f/>
        <v/>
      </c>
      <c r="I619" s="260">
        <f/>
        <v/>
      </c>
      <c r="J619" s="260">
        <f/>
        <v/>
      </c>
      <c r="K619" s="260">
        <f/>
        <v/>
      </c>
      <c r="L619" s="260">
        <f/>
        <v/>
      </c>
    </row>
    <row r="620" ht="16.5" customHeight="1" s="124">
      <c r="A620" s="123">
        <f>[1]預算內選單資料來源!A620</f>
        <v/>
      </c>
      <c r="B620" s="260">
        <f>[1]預算內選單資料來源!B620</f>
        <v/>
      </c>
      <c r="C620" s="260">
        <f/>
        <v/>
      </c>
      <c r="D620" s="260">
        <f/>
        <v/>
      </c>
      <c r="E620" s="260">
        <f/>
        <v/>
      </c>
      <c r="F620" s="260" t="n"/>
      <c r="G620" s="260">
        <f/>
        <v/>
      </c>
      <c r="H620" s="260">
        <f/>
        <v/>
      </c>
      <c r="I620" s="260">
        <f/>
        <v/>
      </c>
      <c r="J620" s="260">
        <f/>
        <v/>
      </c>
      <c r="K620" s="260">
        <f/>
        <v/>
      </c>
      <c r="L620" s="260">
        <f/>
        <v/>
      </c>
    </row>
    <row r="621" ht="16.5" customHeight="1" s="124">
      <c r="A621" s="123">
        <f>[1]預算內選單資料來源!A621</f>
        <v/>
      </c>
      <c r="B621" s="260">
        <f>[1]預算內選單資料來源!B621</f>
        <v/>
      </c>
      <c r="C621" s="260">
        <f/>
        <v/>
      </c>
      <c r="D621" s="260">
        <f/>
        <v/>
      </c>
      <c r="E621" s="260">
        <f/>
        <v/>
      </c>
      <c r="F621" s="260" t="n"/>
      <c r="G621" s="260">
        <f/>
        <v/>
      </c>
      <c r="H621" s="260">
        <f/>
        <v/>
      </c>
      <c r="I621" s="260">
        <f/>
        <v/>
      </c>
      <c r="J621" s="260">
        <f/>
        <v/>
      </c>
      <c r="K621" s="260">
        <f/>
        <v/>
      </c>
      <c r="L621" s="260">
        <f/>
        <v/>
      </c>
    </row>
    <row r="622" ht="16.5" customHeight="1" s="124">
      <c r="A622" s="123">
        <f>[1]預算內選單資料來源!A622</f>
        <v/>
      </c>
      <c r="B622" s="260">
        <f>[1]預算內選單資料來源!B622</f>
        <v/>
      </c>
      <c r="C622" s="260">
        <f/>
        <v/>
      </c>
      <c r="D622" s="260">
        <f/>
        <v/>
      </c>
      <c r="E622" s="260">
        <f/>
        <v/>
      </c>
      <c r="F622" s="260" t="n"/>
      <c r="G622" s="260">
        <f/>
        <v/>
      </c>
      <c r="H622" s="260">
        <f/>
        <v/>
      </c>
      <c r="I622" s="260">
        <f/>
        <v/>
      </c>
      <c r="J622" s="260">
        <f/>
        <v/>
      </c>
      <c r="K622" s="260">
        <f/>
        <v/>
      </c>
      <c r="L622" s="260">
        <f/>
        <v/>
      </c>
    </row>
    <row r="623" ht="16.5" customHeight="1" s="124">
      <c r="A623" s="123">
        <f>[1]預算內選單資料來源!A623</f>
        <v/>
      </c>
      <c r="B623" s="260">
        <f>[1]預算內選單資料來源!B623</f>
        <v/>
      </c>
      <c r="C623" s="260">
        <f/>
        <v/>
      </c>
      <c r="D623" s="260">
        <f/>
        <v/>
      </c>
      <c r="E623" s="260">
        <f/>
        <v/>
      </c>
      <c r="F623" s="260" t="n"/>
      <c r="G623" s="260">
        <f/>
        <v/>
      </c>
      <c r="H623" s="260">
        <f/>
        <v/>
      </c>
      <c r="I623" s="260">
        <f/>
        <v/>
      </c>
      <c r="J623" s="260">
        <f/>
        <v/>
      </c>
      <c r="K623" s="260">
        <f/>
        <v/>
      </c>
      <c r="L623" s="260">
        <f/>
        <v/>
      </c>
    </row>
    <row r="624" ht="16.5" customHeight="1" s="124">
      <c r="A624" s="123">
        <f>[1]預算內選單資料來源!A624</f>
        <v/>
      </c>
      <c r="B624" s="260">
        <f>[1]預算內選單資料來源!B624</f>
        <v/>
      </c>
      <c r="C624" s="260">
        <f/>
        <v/>
      </c>
      <c r="D624" s="260">
        <f/>
        <v/>
      </c>
      <c r="E624" s="260">
        <f/>
        <v/>
      </c>
      <c r="F624" s="260" t="n"/>
      <c r="G624" s="260">
        <f/>
        <v/>
      </c>
      <c r="H624" s="260">
        <f/>
        <v/>
      </c>
      <c r="I624" s="260">
        <f/>
        <v/>
      </c>
      <c r="J624" s="260">
        <f/>
        <v/>
      </c>
      <c r="K624" s="260">
        <f/>
        <v/>
      </c>
      <c r="L624" s="260">
        <f/>
        <v/>
      </c>
    </row>
    <row r="625" ht="16.5" customHeight="1" s="124">
      <c r="A625" s="123">
        <f>[1]預算內選單資料來源!A625</f>
        <v/>
      </c>
      <c r="B625" s="260">
        <f>[1]預算內選單資料來源!B625</f>
        <v/>
      </c>
      <c r="C625" s="260">
        <f/>
        <v/>
      </c>
      <c r="D625" s="260">
        <f/>
        <v/>
      </c>
      <c r="E625" s="260">
        <f/>
        <v/>
      </c>
      <c r="F625" s="260" t="n"/>
      <c r="G625" s="260">
        <f/>
        <v/>
      </c>
      <c r="H625" s="260">
        <f/>
        <v/>
      </c>
      <c r="I625" s="260">
        <f/>
        <v/>
      </c>
      <c r="J625" s="260">
        <f/>
        <v/>
      </c>
      <c r="K625" s="260">
        <f/>
        <v/>
      </c>
      <c r="L625" s="260">
        <f/>
        <v/>
      </c>
    </row>
    <row r="626" ht="16.5" customHeight="1" s="124">
      <c r="A626" s="123">
        <f>[1]預算內選單資料來源!A626</f>
        <v/>
      </c>
      <c r="B626" s="260">
        <f>[1]預算內選單資料來源!B626</f>
        <v/>
      </c>
      <c r="C626" s="260">
        <f/>
        <v/>
      </c>
      <c r="D626" s="260">
        <f/>
        <v/>
      </c>
      <c r="E626" s="260">
        <f/>
        <v/>
      </c>
      <c r="F626" s="260" t="n"/>
      <c r="G626" s="260">
        <f/>
        <v/>
      </c>
      <c r="H626" s="260">
        <f/>
        <v/>
      </c>
      <c r="I626" s="260">
        <f/>
        <v/>
      </c>
      <c r="J626" s="260">
        <f/>
        <v/>
      </c>
      <c r="K626" s="260">
        <f/>
        <v/>
      </c>
      <c r="L626" s="260">
        <f/>
        <v/>
      </c>
    </row>
    <row r="627" ht="16.5" customHeight="1" s="124">
      <c r="A627" s="123">
        <f>[1]預算內選單資料來源!A627</f>
        <v/>
      </c>
      <c r="B627" s="260">
        <f>[1]預算內選單資料來源!B627</f>
        <v/>
      </c>
      <c r="C627" s="260">
        <f/>
        <v/>
      </c>
      <c r="D627" s="260">
        <f/>
        <v/>
      </c>
      <c r="E627" s="260">
        <f/>
        <v/>
      </c>
      <c r="F627" s="260" t="n"/>
      <c r="G627" s="260">
        <f/>
        <v/>
      </c>
      <c r="H627" s="260">
        <f/>
        <v/>
      </c>
      <c r="I627" s="260">
        <f/>
        <v/>
      </c>
      <c r="J627" s="260">
        <f/>
        <v/>
      </c>
      <c r="K627" s="260">
        <f/>
        <v/>
      </c>
      <c r="L627" s="260">
        <f/>
        <v/>
      </c>
    </row>
    <row r="628" ht="16.5" customHeight="1" s="124">
      <c r="A628" s="123">
        <f>[1]預算內選單資料來源!A628</f>
        <v/>
      </c>
      <c r="B628" s="260">
        <f>[1]預算內選單資料來源!B628</f>
        <v/>
      </c>
      <c r="C628" s="260">
        <f/>
        <v/>
      </c>
      <c r="D628" s="260">
        <f/>
        <v/>
      </c>
      <c r="E628" s="260">
        <f/>
        <v/>
      </c>
      <c r="F628" s="260" t="n"/>
      <c r="G628" s="260">
        <f/>
        <v/>
      </c>
      <c r="H628" s="260">
        <f/>
        <v/>
      </c>
      <c r="I628" s="260">
        <f/>
        <v/>
      </c>
      <c r="J628" s="260">
        <f/>
        <v/>
      </c>
      <c r="K628" s="260">
        <f/>
        <v/>
      </c>
      <c r="L628" s="260">
        <f/>
        <v/>
      </c>
    </row>
    <row r="629" ht="16.5" customHeight="1" s="124">
      <c r="A629" s="123">
        <f>[1]預算內選單資料來源!A629</f>
        <v/>
      </c>
      <c r="B629" s="260">
        <f>[1]預算內選單資料來源!B629</f>
        <v/>
      </c>
      <c r="C629" s="260">
        <f/>
        <v/>
      </c>
      <c r="D629" s="260">
        <f/>
        <v/>
      </c>
      <c r="E629" s="260">
        <f/>
        <v/>
      </c>
      <c r="F629" s="260" t="n"/>
      <c r="G629" s="260">
        <f/>
        <v/>
      </c>
      <c r="H629" s="260">
        <f/>
        <v/>
      </c>
      <c r="I629" s="260">
        <f/>
        <v/>
      </c>
      <c r="J629" s="260">
        <f/>
        <v/>
      </c>
      <c r="K629" s="260">
        <f/>
        <v/>
      </c>
      <c r="L629" s="260">
        <f/>
        <v/>
      </c>
    </row>
    <row r="630" ht="16.5" customHeight="1" s="124">
      <c r="A630" s="123">
        <f>[1]預算內選單資料來源!A630</f>
        <v/>
      </c>
      <c r="B630" s="260">
        <f>[1]預算內選單資料來源!B630</f>
        <v/>
      </c>
      <c r="C630" s="260">
        <f/>
        <v/>
      </c>
      <c r="D630" s="260">
        <f/>
        <v/>
      </c>
      <c r="E630" s="260">
        <f/>
        <v/>
      </c>
      <c r="F630" s="260" t="n"/>
      <c r="G630" s="260">
        <f/>
        <v/>
      </c>
      <c r="H630" s="260">
        <f/>
        <v/>
      </c>
      <c r="I630" s="260">
        <f/>
        <v/>
      </c>
      <c r="J630" s="260">
        <f/>
        <v/>
      </c>
      <c r="K630" s="260">
        <f/>
        <v/>
      </c>
      <c r="L630" s="260">
        <f/>
        <v/>
      </c>
    </row>
    <row r="631" ht="16.5" customHeight="1" s="124">
      <c r="A631" s="123">
        <f>[1]預算內選單資料來源!A631</f>
        <v/>
      </c>
      <c r="B631" s="260">
        <f>[1]預算內選單資料來源!B631</f>
        <v/>
      </c>
      <c r="C631" s="260">
        <f/>
        <v/>
      </c>
      <c r="D631" s="260">
        <f/>
        <v/>
      </c>
      <c r="E631" s="260">
        <f/>
        <v/>
      </c>
      <c r="F631" s="260" t="n"/>
      <c r="G631" s="260">
        <f/>
        <v/>
      </c>
      <c r="H631" s="260">
        <f/>
        <v/>
      </c>
      <c r="I631" s="260">
        <f/>
        <v/>
      </c>
      <c r="J631" s="260">
        <f/>
        <v/>
      </c>
      <c r="K631" s="260">
        <f/>
        <v/>
      </c>
      <c r="L631" s="260">
        <f/>
        <v/>
      </c>
    </row>
    <row r="632" ht="16.5" customHeight="1" s="124">
      <c r="A632" s="123">
        <f>[1]預算內選單資料來源!A632</f>
        <v/>
      </c>
      <c r="B632" s="260">
        <f>[1]預算內選單資料來源!B632</f>
        <v/>
      </c>
      <c r="C632" s="260">
        <f/>
        <v/>
      </c>
      <c r="D632" s="260">
        <f/>
        <v/>
      </c>
      <c r="E632" s="260">
        <f/>
        <v/>
      </c>
      <c r="F632" s="260" t="n"/>
      <c r="G632" s="260">
        <f/>
        <v/>
      </c>
      <c r="H632" s="260">
        <f/>
        <v/>
      </c>
      <c r="I632" s="260">
        <f/>
        <v/>
      </c>
      <c r="J632" s="260">
        <f/>
        <v/>
      </c>
      <c r="K632" s="260">
        <f/>
        <v/>
      </c>
      <c r="L632" s="260">
        <f/>
        <v/>
      </c>
    </row>
    <row r="633" ht="16.5" customHeight="1" s="124">
      <c r="A633" s="123">
        <f>[1]預算內選單資料來源!A633</f>
        <v/>
      </c>
      <c r="B633" s="260">
        <f>[1]預算內選單資料來源!B633</f>
        <v/>
      </c>
      <c r="C633" s="260">
        <f/>
        <v/>
      </c>
      <c r="D633" s="260">
        <f/>
        <v/>
      </c>
      <c r="E633" s="260">
        <f/>
        <v/>
      </c>
      <c r="F633" s="260" t="n"/>
      <c r="G633" s="260">
        <f/>
        <v/>
      </c>
      <c r="H633" s="260">
        <f/>
        <v/>
      </c>
      <c r="I633" s="260">
        <f/>
        <v/>
      </c>
      <c r="J633" s="260">
        <f/>
        <v/>
      </c>
      <c r="K633" s="260">
        <f/>
        <v/>
      </c>
      <c r="L633" s="260">
        <f/>
        <v/>
      </c>
    </row>
    <row r="634" ht="16.5" customHeight="1" s="124">
      <c r="A634" s="123">
        <f>[1]預算內選單資料來源!A634</f>
        <v/>
      </c>
      <c r="B634" s="260">
        <f>[1]預算內選單資料來源!B634</f>
        <v/>
      </c>
      <c r="C634" s="260">
        <f/>
        <v/>
      </c>
      <c r="D634" s="260">
        <f/>
        <v/>
      </c>
      <c r="E634" s="260">
        <f/>
        <v/>
      </c>
      <c r="F634" s="260" t="n"/>
      <c r="G634" s="260">
        <f/>
        <v/>
      </c>
      <c r="H634" s="260">
        <f/>
        <v/>
      </c>
      <c r="I634" s="260">
        <f/>
        <v/>
      </c>
      <c r="J634" s="260">
        <f/>
        <v/>
      </c>
      <c r="K634" s="260">
        <f/>
        <v/>
      </c>
      <c r="L634" s="260">
        <f/>
        <v/>
      </c>
    </row>
    <row r="635" ht="16.5" customHeight="1" s="124">
      <c r="A635" s="123">
        <f>[1]預算內選單資料來源!A635</f>
        <v/>
      </c>
      <c r="B635" s="260">
        <f>[1]預算內選單資料來源!B635</f>
        <v/>
      </c>
      <c r="C635" s="260">
        <f/>
        <v/>
      </c>
      <c r="D635" s="260">
        <f/>
        <v/>
      </c>
      <c r="E635" s="260">
        <f/>
        <v/>
      </c>
      <c r="F635" s="260" t="n"/>
      <c r="G635" s="260">
        <f/>
        <v/>
      </c>
      <c r="H635" s="260">
        <f/>
        <v/>
      </c>
      <c r="I635" s="260">
        <f/>
        <v/>
      </c>
      <c r="J635" s="260">
        <f/>
        <v/>
      </c>
      <c r="K635" s="260">
        <f/>
        <v/>
      </c>
      <c r="L635" s="260">
        <f/>
        <v/>
      </c>
    </row>
    <row r="636" ht="16.5" customHeight="1" s="124">
      <c r="A636" s="123">
        <f>[1]預算內選單資料來源!A636</f>
        <v/>
      </c>
      <c r="B636" s="260">
        <f>[1]預算內選單資料來源!B636</f>
        <v/>
      </c>
      <c r="C636" s="260">
        <f/>
        <v/>
      </c>
      <c r="D636" s="260">
        <f/>
        <v/>
      </c>
      <c r="E636" s="260">
        <f/>
        <v/>
      </c>
      <c r="F636" s="260" t="n"/>
      <c r="G636" s="260">
        <f/>
        <v/>
      </c>
      <c r="H636" s="260">
        <f/>
        <v/>
      </c>
      <c r="I636" s="260">
        <f/>
        <v/>
      </c>
      <c r="J636" s="260">
        <f/>
        <v/>
      </c>
      <c r="K636" s="260">
        <f/>
        <v/>
      </c>
      <c r="L636" s="260">
        <f/>
        <v/>
      </c>
    </row>
    <row r="637" ht="16.5" customHeight="1" s="124">
      <c r="A637" s="123">
        <f>[1]預算內選單資料來源!A637</f>
        <v/>
      </c>
      <c r="B637" s="260">
        <f>[1]預算內選單資料來源!B637</f>
        <v/>
      </c>
      <c r="C637" s="260">
        <f/>
        <v/>
      </c>
      <c r="D637" s="260">
        <f/>
        <v/>
      </c>
      <c r="E637" s="260">
        <f/>
        <v/>
      </c>
      <c r="F637" s="260" t="n"/>
      <c r="G637" s="260">
        <f/>
        <v/>
      </c>
      <c r="H637" s="260">
        <f/>
        <v/>
      </c>
      <c r="I637" s="260">
        <f/>
        <v/>
      </c>
      <c r="J637" s="260">
        <f/>
        <v/>
      </c>
      <c r="K637" s="260">
        <f/>
        <v/>
      </c>
      <c r="L637" s="260">
        <f/>
        <v/>
      </c>
    </row>
    <row r="638" ht="16.5" customHeight="1" s="124">
      <c r="A638" s="123">
        <f>[1]預算內選單資料來源!A638</f>
        <v/>
      </c>
      <c r="B638" s="260">
        <f>[1]預算內選單資料來源!B638</f>
        <v/>
      </c>
      <c r="C638" s="260">
        <f/>
        <v/>
      </c>
      <c r="D638" s="260">
        <f/>
        <v/>
      </c>
      <c r="E638" s="260">
        <f/>
        <v/>
      </c>
      <c r="F638" s="260" t="n"/>
      <c r="G638" s="260">
        <f/>
        <v/>
      </c>
      <c r="H638" s="260">
        <f/>
        <v/>
      </c>
      <c r="I638" s="260">
        <f/>
        <v/>
      </c>
      <c r="J638" s="260">
        <f/>
        <v/>
      </c>
      <c r="K638" s="260">
        <f/>
        <v/>
      </c>
      <c r="L638" s="260">
        <f/>
        <v/>
      </c>
    </row>
    <row r="639" ht="16.5" customHeight="1" s="124">
      <c r="A639" s="123">
        <f>[1]預算內選單資料來源!A639</f>
        <v/>
      </c>
      <c r="B639" s="260">
        <f>[1]預算內選單資料來源!B639</f>
        <v/>
      </c>
      <c r="C639" s="260">
        <f/>
        <v/>
      </c>
      <c r="D639" s="260">
        <f/>
        <v/>
      </c>
      <c r="E639" s="260">
        <f/>
        <v/>
      </c>
      <c r="F639" s="260" t="n"/>
      <c r="G639" s="260">
        <f/>
        <v/>
      </c>
      <c r="H639" s="260">
        <f/>
        <v/>
      </c>
      <c r="I639" s="260">
        <f/>
        <v/>
      </c>
      <c r="J639" s="260">
        <f/>
        <v/>
      </c>
      <c r="K639" s="260">
        <f/>
        <v/>
      </c>
      <c r="L639" s="260">
        <f/>
        <v/>
      </c>
    </row>
    <row r="640" ht="16.5" customHeight="1" s="124">
      <c r="A640" s="123">
        <f>[1]預算內選單資料來源!A640</f>
        <v/>
      </c>
      <c r="B640" s="260">
        <f>[1]預算內選單資料來源!B640</f>
        <v/>
      </c>
      <c r="C640" s="260">
        <f/>
        <v/>
      </c>
      <c r="D640" s="260">
        <f/>
        <v/>
      </c>
      <c r="E640" s="260">
        <f/>
        <v/>
      </c>
      <c r="F640" s="260" t="n"/>
      <c r="G640" s="260">
        <f/>
        <v/>
      </c>
      <c r="H640" s="260">
        <f/>
        <v/>
      </c>
      <c r="I640" s="260">
        <f/>
        <v/>
      </c>
      <c r="J640" s="260">
        <f/>
        <v/>
      </c>
      <c r="K640" s="260">
        <f/>
        <v/>
      </c>
      <c r="L640" s="260">
        <f/>
        <v/>
      </c>
    </row>
    <row r="641" ht="16.5" customHeight="1" s="124">
      <c r="A641" s="123">
        <f>[1]預算內選單資料來源!A641</f>
        <v/>
      </c>
      <c r="B641" s="260">
        <f>[1]預算內選單資料來源!B641</f>
        <v/>
      </c>
      <c r="C641" s="260">
        <f/>
        <v/>
      </c>
      <c r="D641" s="260">
        <f/>
        <v/>
      </c>
      <c r="E641" s="260">
        <f/>
        <v/>
      </c>
      <c r="F641" s="260" t="n"/>
      <c r="G641" s="260">
        <f/>
        <v/>
      </c>
      <c r="H641" s="260">
        <f/>
        <v/>
      </c>
      <c r="I641" s="260">
        <f/>
        <v/>
      </c>
      <c r="J641" s="260">
        <f/>
        <v/>
      </c>
      <c r="K641" s="260">
        <f/>
        <v/>
      </c>
      <c r="L641" s="260">
        <f/>
        <v/>
      </c>
    </row>
    <row r="642" ht="16.5" customHeight="1" s="124">
      <c r="A642" s="123">
        <f>[1]預算內選單資料來源!A642</f>
        <v/>
      </c>
      <c r="B642" s="260">
        <f>[1]預算內選單資料來源!B642</f>
        <v/>
      </c>
      <c r="C642" s="260">
        <f/>
        <v/>
      </c>
      <c r="D642" s="260">
        <f/>
        <v/>
      </c>
      <c r="E642" s="260">
        <f/>
        <v/>
      </c>
      <c r="F642" s="260" t="n"/>
      <c r="G642" s="260">
        <f/>
        <v/>
      </c>
      <c r="H642" s="260">
        <f/>
        <v/>
      </c>
      <c r="I642" s="260">
        <f/>
        <v/>
      </c>
      <c r="J642" s="260">
        <f/>
        <v/>
      </c>
      <c r="K642" s="260">
        <f/>
        <v/>
      </c>
      <c r="L642" s="260">
        <f/>
        <v/>
      </c>
    </row>
    <row r="643" ht="16.5" customHeight="1" s="124">
      <c r="A643" s="123">
        <f>[1]預算內選單資料來源!A643</f>
        <v/>
      </c>
      <c r="B643" s="260">
        <f>[1]預算內選單資料來源!B643</f>
        <v/>
      </c>
      <c r="C643" s="260">
        <f/>
        <v/>
      </c>
      <c r="D643" s="260">
        <f/>
        <v/>
      </c>
      <c r="E643" s="260">
        <f/>
        <v/>
      </c>
      <c r="F643" s="260" t="n"/>
      <c r="G643" s="260">
        <f/>
        <v/>
      </c>
      <c r="H643" s="260">
        <f/>
        <v/>
      </c>
      <c r="I643" s="260">
        <f/>
        <v/>
      </c>
      <c r="J643" s="260">
        <f/>
        <v/>
      </c>
      <c r="K643" s="260">
        <f/>
        <v/>
      </c>
      <c r="L643" s="260">
        <f/>
        <v/>
      </c>
    </row>
    <row r="644" ht="16.5" customHeight="1" s="124">
      <c r="A644" s="123">
        <f>[1]預算內選單資料來源!A644</f>
        <v/>
      </c>
      <c r="B644" s="260">
        <f>[1]預算內選單資料來源!B644</f>
        <v/>
      </c>
      <c r="C644" s="260">
        <f/>
        <v/>
      </c>
      <c r="D644" s="260">
        <f/>
        <v/>
      </c>
      <c r="E644" s="260">
        <f/>
        <v/>
      </c>
      <c r="F644" s="260" t="n"/>
      <c r="G644" s="260">
        <f/>
        <v/>
      </c>
      <c r="H644" s="260">
        <f/>
        <v/>
      </c>
      <c r="I644" s="260">
        <f/>
        <v/>
      </c>
      <c r="J644" s="260">
        <f/>
        <v/>
      </c>
      <c r="K644" s="260">
        <f/>
        <v/>
      </c>
      <c r="L644" s="260">
        <f/>
        <v/>
      </c>
    </row>
    <row r="645" ht="16.5" customHeight="1" s="124">
      <c r="A645" s="123">
        <f>[1]預算內選單資料來源!A645</f>
        <v/>
      </c>
      <c r="B645" s="260">
        <f>[1]預算內選單資料來源!B645</f>
        <v/>
      </c>
      <c r="C645" s="260">
        <f/>
        <v/>
      </c>
      <c r="D645" s="260">
        <f/>
        <v/>
      </c>
      <c r="E645" s="260">
        <f/>
        <v/>
      </c>
      <c r="F645" s="260" t="n"/>
      <c r="G645" s="260">
        <f/>
        <v/>
      </c>
      <c r="H645" s="260">
        <f/>
        <v/>
      </c>
      <c r="I645" s="260">
        <f/>
        <v/>
      </c>
      <c r="J645" s="260">
        <f/>
        <v/>
      </c>
      <c r="K645" s="260">
        <f/>
        <v/>
      </c>
      <c r="L645" s="260">
        <f/>
        <v/>
      </c>
    </row>
    <row r="646" ht="16.5" customHeight="1" s="124">
      <c r="A646" s="123">
        <f>[1]預算內選單資料來源!A646</f>
        <v/>
      </c>
      <c r="B646" s="260">
        <f>[1]預算內選單資料來源!B646</f>
        <v/>
      </c>
      <c r="C646" s="260">
        <f/>
        <v/>
      </c>
      <c r="D646" s="260">
        <f/>
        <v/>
      </c>
      <c r="E646" s="260">
        <f/>
        <v/>
      </c>
      <c r="F646" s="260" t="n"/>
      <c r="G646" s="260">
        <f/>
        <v/>
      </c>
      <c r="H646" s="260">
        <f/>
        <v/>
      </c>
      <c r="I646" s="260">
        <f/>
        <v/>
      </c>
      <c r="J646" s="260">
        <f/>
        <v/>
      </c>
      <c r="K646" s="260">
        <f/>
        <v/>
      </c>
      <c r="L646" s="260">
        <f/>
        <v/>
      </c>
    </row>
    <row r="647" ht="16.5" customHeight="1" s="124">
      <c r="A647" s="123">
        <f>[1]預算內選單資料來源!A647</f>
        <v/>
      </c>
      <c r="B647" s="260">
        <f>[1]預算內選單資料來源!B647</f>
        <v/>
      </c>
      <c r="C647" s="260">
        <f/>
        <v/>
      </c>
      <c r="D647" s="260">
        <f/>
        <v/>
      </c>
      <c r="E647" s="260">
        <f/>
        <v/>
      </c>
      <c r="F647" s="260" t="n"/>
      <c r="G647" s="260">
        <f/>
        <v/>
      </c>
      <c r="H647" s="260">
        <f/>
        <v/>
      </c>
      <c r="I647" s="260">
        <f/>
        <v/>
      </c>
      <c r="J647" s="260">
        <f/>
        <v/>
      </c>
      <c r="K647" s="260">
        <f/>
        <v/>
      </c>
      <c r="L647" s="260">
        <f/>
        <v/>
      </c>
    </row>
    <row r="648" ht="16.5" customHeight="1" s="124">
      <c r="A648" s="123">
        <f>[1]預算內選單資料來源!A648</f>
        <v/>
      </c>
      <c r="B648" s="260">
        <f>[1]預算內選單資料來源!B648</f>
        <v/>
      </c>
      <c r="C648" s="260">
        <f/>
        <v/>
      </c>
      <c r="D648" s="260">
        <f/>
        <v/>
      </c>
      <c r="E648" s="260">
        <f/>
        <v/>
      </c>
      <c r="F648" s="260" t="n"/>
      <c r="G648" s="260">
        <f/>
        <v/>
      </c>
      <c r="H648" s="260">
        <f/>
        <v/>
      </c>
      <c r="I648" s="260">
        <f/>
        <v/>
      </c>
      <c r="J648" s="260">
        <f/>
        <v/>
      </c>
      <c r="K648" s="260">
        <f/>
        <v/>
      </c>
      <c r="L648" s="260">
        <f/>
        <v/>
      </c>
    </row>
    <row r="649" ht="16.5" customHeight="1" s="124">
      <c r="A649" s="123">
        <f>[1]預算內選單資料來源!A649</f>
        <v/>
      </c>
      <c r="B649" s="260">
        <f>[1]預算內選單資料來源!B649</f>
        <v/>
      </c>
      <c r="C649" s="260">
        <f/>
        <v/>
      </c>
      <c r="D649" s="260">
        <f/>
        <v/>
      </c>
      <c r="E649" s="260">
        <f/>
        <v/>
      </c>
      <c r="F649" s="260" t="n"/>
      <c r="G649" s="260">
        <f/>
        <v/>
      </c>
      <c r="H649" s="260">
        <f/>
        <v/>
      </c>
      <c r="I649" s="260">
        <f/>
        <v/>
      </c>
      <c r="J649" s="260">
        <f/>
        <v/>
      </c>
      <c r="K649" s="260">
        <f/>
        <v/>
      </c>
      <c r="L649" s="260">
        <f/>
        <v/>
      </c>
    </row>
    <row r="650" ht="16.5" customHeight="1" s="124">
      <c r="A650" s="123">
        <f>[1]預算內選單資料來源!A650</f>
        <v/>
      </c>
      <c r="B650" s="260">
        <f>[1]預算內選單資料來源!B650</f>
        <v/>
      </c>
      <c r="C650" s="260">
        <f/>
        <v/>
      </c>
      <c r="D650" s="260">
        <f/>
        <v/>
      </c>
      <c r="E650" s="260">
        <f/>
        <v/>
      </c>
      <c r="F650" s="260" t="n"/>
      <c r="G650" s="260">
        <f/>
        <v/>
      </c>
      <c r="H650" s="260">
        <f/>
        <v/>
      </c>
      <c r="I650" s="260">
        <f/>
        <v/>
      </c>
      <c r="J650" s="260">
        <f/>
        <v/>
      </c>
      <c r="K650" s="260">
        <f/>
        <v/>
      </c>
      <c r="L650" s="260">
        <f/>
        <v/>
      </c>
    </row>
    <row r="651" ht="16.5" customHeight="1" s="124">
      <c r="A651" s="123">
        <f>[1]預算內選單資料來源!A651</f>
        <v/>
      </c>
      <c r="B651" s="260">
        <f>[1]預算內選單資料來源!B651</f>
        <v/>
      </c>
      <c r="C651" s="260">
        <f/>
        <v/>
      </c>
      <c r="D651" s="260">
        <f/>
        <v/>
      </c>
      <c r="E651" s="260">
        <f/>
        <v/>
      </c>
      <c r="F651" s="260" t="n"/>
      <c r="G651" s="260">
        <f/>
        <v/>
      </c>
      <c r="H651" s="260">
        <f/>
        <v/>
      </c>
      <c r="I651" s="260">
        <f/>
        <v/>
      </c>
      <c r="J651" s="260">
        <f/>
        <v/>
      </c>
      <c r="K651" s="260">
        <f/>
        <v/>
      </c>
      <c r="L651" s="260">
        <f/>
        <v/>
      </c>
    </row>
    <row r="652" ht="16.5" customHeight="1" s="124">
      <c r="A652" s="123">
        <f>[1]預算內選單資料來源!A652</f>
        <v/>
      </c>
      <c r="B652" s="260">
        <f>[1]預算內選單資料來源!B652</f>
        <v/>
      </c>
      <c r="C652" s="260">
        <f/>
        <v/>
      </c>
      <c r="D652" s="260">
        <f/>
        <v/>
      </c>
      <c r="E652" s="260">
        <f/>
        <v/>
      </c>
      <c r="F652" s="260" t="n"/>
      <c r="G652" s="260">
        <f/>
        <v/>
      </c>
      <c r="H652" s="260">
        <f/>
        <v/>
      </c>
      <c r="I652" s="260">
        <f/>
        <v/>
      </c>
      <c r="J652" s="260">
        <f/>
        <v/>
      </c>
      <c r="K652" s="260">
        <f/>
        <v/>
      </c>
      <c r="L652" s="260">
        <f/>
        <v/>
      </c>
    </row>
    <row r="653" ht="16.5" customHeight="1" s="124">
      <c r="A653" s="123">
        <f>[1]預算內選單資料來源!A653</f>
        <v/>
      </c>
      <c r="B653" s="260">
        <f>[1]預算內選單資料來源!B653</f>
        <v/>
      </c>
      <c r="C653" s="260">
        <f/>
        <v/>
      </c>
      <c r="D653" s="260">
        <f/>
        <v/>
      </c>
      <c r="E653" s="260">
        <f/>
        <v/>
      </c>
      <c r="F653" s="260" t="n"/>
      <c r="G653" s="260">
        <f/>
        <v/>
      </c>
      <c r="H653" s="260">
        <f/>
        <v/>
      </c>
      <c r="I653" s="260">
        <f/>
        <v/>
      </c>
      <c r="J653" s="260">
        <f/>
        <v/>
      </c>
      <c r="K653" s="260">
        <f/>
        <v/>
      </c>
      <c r="L653" s="260">
        <f/>
        <v/>
      </c>
    </row>
    <row r="654" ht="16.5" customHeight="1" s="124">
      <c r="A654" s="123">
        <f>[1]預算內選單資料來源!A654</f>
        <v/>
      </c>
      <c r="B654" s="260">
        <f>[1]預算內選單資料來源!B654</f>
        <v/>
      </c>
      <c r="C654" s="260">
        <f/>
        <v/>
      </c>
      <c r="D654" s="260">
        <f/>
        <v/>
      </c>
      <c r="E654" s="260">
        <f/>
        <v/>
      </c>
      <c r="F654" s="260" t="n"/>
      <c r="G654" s="260">
        <f/>
        <v/>
      </c>
      <c r="H654" s="260">
        <f/>
        <v/>
      </c>
      <c r="I654" s="260">
        <f/>
        <v/>
      </c>
      <c r="J654" s="260">
        <f/>
        <v/>
      </c>
      <c r="K654" s="260">
        <f/>
        <v/>
      </c>
      <c r="L654" s="260">
        <f/>
        <v/>
      </c>
    </row>
    <row r="655" ht="16.5" customHeight="1" s="124">
      <c r="A655" s="123">
        <f>[1]預算內選單資料來源!A655</f>
        <v/>
      </c>
      <c r="B655" s="260">
        <f>[1]預算內選單資料來源!B655</f>
        <v/>
      </c>
      <c r="C655" s="260">
        <f/>
        <v/>
      </c>
      <c r="D655" s="260">
        <f/>
        <v/>
      </c>
      <c r="E655" s="260">
        <f/>
        <v/>
      </c>
      <c r="F655" s="260" t="n"/>
      <c r="G655" s="260">
        <f/>
        <v/>
      </c>
      <c r="H655" s="260">
        <f/>
        <v/>
      </c>
      <c r="I655" s="260">
        <f/>
        <v/>
      </c>
      <c r="J655" s="260">
        <f/>
        <v/>
      </c>
      <c r="K655" s="260">
        <f/>
        <v/>
      </c>
      <c r="L655" s="260">
        <f/>
        <v/>
      </c>
    </row>
    <row r="656" ht="16.5" customHeight="1" s="124">
      <c r="A656" s="123">
        <f>[1]預算內選單資料來源!A656</f>
        <v/>
      </c>
      <c r="B656" s="260">
        <f>[1]預算內選單資料來源!B656</f>
        <v/>
      </c>
      <c r="C656" s="260">
        <f/>
        <v/>
      </c>
      <c r="D656" s="260">
        <f/>
        <v/>
      </c>
      <c r="E656" s="260">
        <f/>
        <v/>
      </c>
      <c r="F656" s="260" t="n"/>
      <c r="G656" s="260">
        <f/>
        <v/>
      </c>
      <c r="H656" s="260">
        <f/>
        <v/>
      </c>
      <c r="I656" s="260">
        <f/>
        <v/>
      </c>
      <c r="J656" s="260">
        <f/>
        <v/>
      </c>
      <c r="K656" s="260">
        <f/>
        <v/>
      </c>
      <c r="L656" s="260">
        <f/>
        <v/>
      </c>
    </row>
    <row r="657" ht="16.5" customHeight="1" s="124">
      <c r="A657" s="123">
        <f>[1]預算內選單資料來源!A657</f>
        <v/>
      </c>
      <c r="B657" s="260">
        <f>[1]預算內選單資料來源!B657</f>
        <v/>
      </c>
      <c r="C657" s="260">
        <f/>
        <v/>
      </c>
      <c r="D657" s="260">
        <f/>
        <v/>
      </c>
      <c r="E657" s="260">
        <f/>
        <v/>
      </c>
      <c r="F657" s="260" t="n"/>
      <c r="G657" s="260">
        <f/>
        <v/>
      </c>
      <c r="H657" s="260">
        <f/>
        <v/>
      </c>
      <c r="I657" s="260">
        <f/>
        <v/>
      </c>
      <c r="J657" s="260">
        <f/>
        <v/>
      </c>
      <c r="K657" s="260">
        <f/>
        <v/>
      </c>
      <c r="L657" s="260">
        <f/>
        <v/>
      </c>
    </row>
    <row r="658" ht="16.5" customHeight="1" s="124">
      <c r="A658" s="123">
        <f>[1]預算內選單資料來源!A658</f>
        <v/>
      </c>
      <c r="B658" s="260">
        <f>[1]預算內選單資料來源!B658</f>
        <v/>
      </c>
      <c r="C658" s="260">
        <f/>
        <v/>
      </c>
      <c r="D658" s="260">
        <f/>
        <v/>
      </c>
      <c r="E658" s="260">
        <f/>
        <v/>
      </c>
      <c r="F658" s="260" t="n"/>
      <c r="G658" s="260">
        <f/>
        <v/>
      </c>
      <c r="H658" s="260">
        <f/>
        <v/>
      </c>
      <c r="I658" s="260">
        <f/>
        <v/>
      </c>
      <c r="J658" s="260">
        <f/>
        <v/>
      </c>
      <c r="K658" s="260">
        <f/>
        <v/>
      </c>
      <c r="L658" s="260">
        <f/>
        <v/>
      </c>
    </row>
    <row r="659" ht="16.5" customHeight="1" s="124">
      <c r="A659" s="123">
        <f>[1]預算內選單資料來源!A659</f>
        <v/>
      </c>
      <c r="B659" s="260">
        <f>[1]預算內選單資料來源!B659</f>
        <v/>
      </c>
      <c r="C659" s="260">
        <f/>
        <v/>
      </c>
      <c r="D659" s="260">
        <f/>
        <v/>
      </c>
      <c r="E659" s="260">
        <f/>
        <v/>
      </c>
      <c r="F659" s="260" t="n"/>
      <c r="G659" s="260">
        <f/>
        <v/>
      </c>
      <c r="H659" s="260">
        <f/>
        <v/>
      </c>
      <c r="I659" s="260">
        <f/>
        <v/>
      </c>
      <c r="J659" s="260">
        <f/>
        <v/>
      </c>
      <c r="K659" s="260">
        <f/>
        <v/>
      </c>
      <c r="L659" s="260">
        <f/>
        <v/>
      </c>
    </row>
    <row r="660" ht="16.5" customHeight="1" s="124">
      <c r="A660" s="123">
        <f>[1]預算內選單資料來源!A660</f>
        <v/>
      </c>
      <c r="B660" s="260">
        <f>[1]預算內選單資料來源!B660</f>
        <v/>
      </c>
      <c r="C660" s="260">
        <f/>
        <v/>
      </c>
      <c r="D660" s="260">
        <f/>
        <v/>
      </c>
      <c r="E660" s="260">
        <f/>
        <v/>
      </c>
      <c r="F660" s="260" t="n"/>
      <c r="G660" s="260">
        <f/>
        <v/>
      </c>
      <c r="H660" s="260">
        <f/>
        <v/>
      </c>
      <c r="I660" s="260">
        <f/>
        <v/>
      </c>
      <c r="J660" s="260">
        <f/>
        <v/>
      </c>
      <c r="K660" s="260">
        <f/>
        <v/>
      </c>
      <c r="L660" s="260">
        <f/>
        <v/>
      </c>
    </row>
    <row r="661" ht="16.5" customHeight="1" s="124">
      <c r="A661" s="123">
        <f>[1]預算內選單資料來源!A661</f>
        <v/>
      </c>
      <c r="B661" s="260">
        <f>[1]預算內選單資料來源!B661</f>
        <v/>
      </c>
      <c r="C661" s="260">
        <f/>
        <v/>
      </c>
      <c r="D661" s="260">
        <f/>
        <v/>
      </c>
      <c r="E661" s="260">
        <f/>
        <v/>
      </c>
      <c r="F661" s="260" t="n"/>
      <c r="G661" s="260">
        <f/>
        <v/>
      </c>
      <c r="H661" s="260">
        <f/>
        <v/>
      </c>
      <c r="I661" s="260">
        <f/>
        <v/>
      </c>
      <c r="J661" s="260">
        <f/>
        <v/>
      </c>
      <c r="K661" s="260">
        <f/>
        <v/>
      </c>
      <c r="L661" s="260">
        <f/>
        <v/>
      </c>
    </row>
    <row r="662" ht="16.5" customHeight="1" s="124">
      <c r="A662" s="123">
        <f>[1]預算內選單資料來源!A662</f>
        <v/>
      </c>
      <c r="B662" s="260">
        <f>[1]預算內選單資料來源!B662</f>
        <v/>
      </c>
      <c r="C662" s="260">
        <f/>
        <v/>
      </c>
      <c r="D662" s="260">
        <f/>
        <v/>
      </c>
      <c r="E662" s="260">
        <f/>
        <v/>
      </c>
      <c r="F662" s="260" t="n"/>
      <c r="G662" s="260">
        <f/>
        <v/>
      </c>
      <c r="H662" s="260">
        <f/>
        <v/>
      </c>
      <c r="I662" s="260">
        <f/>
        <v/>
      </c>
      <c r="J662" s="260">
        <f/>
        <v/>
      </c>
      <c r="K662" s="260">
        <f/>
        <v/>
      </c>
      <c r="L662" s="260">
        <f/>
        <v/>
      </c>
    </row>
    <row r="663" ht="16.5" customHeight="1" s="124">
      <c r="A663" s="123">
        <f>[1]預算內選單資料來源!A663</f>
        <v/>
      </c>
      <c r="B663" s="260">
        <f>[1]預算內選單資料來源!B663</f>
        <v/>
      </c>
      <c r="C663" s="260">
        <f/>
        <v/>
      </c>
      <c r="D663" s="260">
        <f/>
        <v/>
      </c>
      <c r="E663" s="260">
        <f/>
        <v/>
      </c>
      <c r="F663" s="260" t="n"/>
      <c r="G663" s="260">
        <f/>
        <v/>
      </c>
      <c r="H663" s="260">
        <f/>
        <v/>
      </c>
      <c r="I663" s="260">
        <f/>
        <v/>
      </c>
      <c r="J663" s="260">
        <f/>
        <v/>
      </c>
      <c r="K663" s="260">
        <f/>
        <v/>
      </c>
      <c r="L663" s="260">
        <f/>
        <v/>
      </c>
    </row>
    <row r="664" ht="16.5" customHeight="1" s="124">
      <c r="A664" s="123">
        <f>[1]預算內選單資料來源!A664</f>
        <v/>
      </c>
      <c r="B664" s="260">
        <f>[1]預算內選單資料來源!B664</f>
        <v/>
      </c>
      <c r="C664" s="260">
        <f/>
        <v/>
      </c>
      <c r="D664" s="260">
        <f/>
        <v/>
      </c>
      <c r="E664" s="260">
        <f/>
        <v/>
      </c>
      <c r="F664" s="260" t="n"/>
      <c r="G664" s="260">
        <f/>
        <v/>
      </c>
      <c r="H664" s="260">
        <f/>
        <v/>
      </c>
      <c r="I664" s="260">
        <f/>
        <v/>
      </c>
      <c r="J664" s="260">
        <f/>
        <v/>
      </c>
      <c r="K664" s="260">
        <f/>
        <v/>
      </c>
      <c r="L664" s="260">
        <f/>
        <v/>
      </c>
    </row>
    <row r="665" ht="16.5" customHeight="1" s="124">
      <c r="A665" s="123">
        <f>[1]預算內選單資料來源!A665</f>
        <v/>
      </c>
      <c r="B665" s="260">
        <f>[1]預算內選單資料來源!B665</f>
        <v/>
      </c>
      <c r="C665" s="260">
        <f/>
        <v/>
      </c>
      <c r="D665" s="260">
        <f/>
        <v/>
      </c>
      <c r="E665" s="260">
        <f/>
        <v/>
      </c>
      <c r="F665" s="260" t="n"/>
      <c r="G665" s="260">
        <f/>
        <v/>
      </c>
      <c r="H665" s="260">
        <f/>
        <v/>
      </c>
      <c r="I665" s="260">
        <f/>
        <v/>
      </c>
      <c r="J665" s="260">
        <f/>
        <v/>
      </c>
      <c r="K665" s="260">
        <f/>
        <v/>
      </c>
      <c r="L665" s="260">
        <f/>
        <v/>
      </c>
    </row>
    <row r="666" ht="16.5" customHeight="1" s="124">
      <c r="A666" s="123">
        <f>[1]預算內選單資料來源!A666</f>
        <v/>
      </c>
      <c r="B666" s="260">
        <f>[1]預算內選單資料來源!B666</f>
        <v/>
      </c>
      <c r="C666" s="260">
        <f/>
        <v/>
      </c>
      <c r="D666" s="260">
        <f/>
        <v/>
      </c>
      <c r="E666" s="260">
        <f/>
        <v/>
      </c>
      <c r="F666" s="260" t="n"/>
      <c r="G666" s="260">
        <f/>
        <v/>
      </c>
      <c r="H666" s="260">
        <f/>
        <v/>
      </c>
      <c r="I666" s="260">
        <f/>
        <v/>
      </c>
      <c r="J666" s="260">
        <f/>
        <v/>
      </c>
      <c r="K666" s="260">
        <f/>
        <v/>
      </c>
      <c r="L666" s="260">
        <f/>
        <v/>
      </c>
    </row>
    <row r="667" ht="16.5" customHeight="1" s="124">
      <c r="A667" s="123">
        <f>[1]預算內選單資料來源!A667</f>
        <v/>
      </c>
      <c r="B667" s="260">
        <f>[1]預算內選單資料來源!B667</f>
        <v/>
      </c>
      <c r="C667" s="260">
        <f/>
        <v/>
      </c>
      <c r="D667" s="260">
        <f/>
        <v/>
      </c>
      <c r="E667" s="260">
        <f/>
        <v/>
      </c>
      <c r="F667" s="260" t="n"/>
      <c r="G667" s="260">
        <f/>
        <v/>
      </c>
      <c r="H667" s="260">
        <f/>
        <v/>
      </c>
      <c r="I667" s="260">
        <f/>
        <v/>
      </c>
      <c r="J667" s="260">
        <f/>
        <v/>
      </c>
      <c r="K667" s="260">
        <f/>
        <v/>
      </c>
      <c r="L667" s="260">
        <f/>
        <v/>
      </c>
    </row>
    <row r="668" ht="16.5" customHeight="1" s="124">
      <c r="A668" s="123">
        <f>[1]預算內選單資料來源!A668</f>
        <v/>
      </c>
      <c r="B668" s="260">
        <f>[1]預算內選單資料來源!B668</f>
        <v/>
      </c>
      <c r="C668" s="260">
        <f/>
        <v/>
      </c>
      <c r="D668" s="260">
        <f/>
        <v/>
      </c>
      <c r="E668" s="260">
        <f/>
        <v/>
      </c>
      <c r="F668" s="260" t="n"/>
      <c r="G668" s="260">
        <f/>
        <v/>
      </c>
      <c r="H668" s="260">
        <f/>
        <v/>
      </c>
      <c r="I668" s="260">
        <f/>
        <v/>
      </c>
      <c r="J668" s="260">
        <f/>
        <v/>
      </c>
      <c r="K668" s="260">
        <f/>
        <v/>
      </c>
      <c r="L668" s="260">
        <f/>
        <v/>
      </c>
    </row>
    <row r="669" ht="16.5" customHeight="1" s="124">
      <c r="A669" s="123">
        <f>[1]預算內選單資料來源!A669</f>
        <v/>
      </c>
      <c r="B669" s="260">
        <f>[1]預算內選單資料來源!B669</f>
        <v/>
      </c>
      <c r="C669" s="260">
        <f/>
        <v/>
      </c>
      <c r="D669" s="260">
        <f/>
        <v/>
      </c>
      <c r="E669" s="260">
        <f/>
        <v/>
      </c>
      <c r="F669" s="260" t="n"/>
      <c r="G669" s="260">
        <f/>
        <v/>
      </c>
      <c r="H669" s="260">
        <f/>
        <v/>
      </c>
      <c r="I669" s="260">
        <f/>
        <v/>
      </c>
      <c r="J669" s="260">
        <f/>
        <v/>
      </c>
      <c r="K669" s="260">
        <f/>
        <v/>
      </c>
      <c r="L669" s="260">
        <f/>
        <v/>
      </c>
    </row>
    <row r="670" ht="16.5" customHeight="1" s="124">
      <c r="A670" s="123">
        <f>[1]預算內選單資料來源!A670</f>
        <v/>
      </c>
      <c r="B670" s="260">
        <f>[1]預算內選單資料來源!B670</f>
        <v/>
      </c>
      <c r="C670" s="260">
        <f/>
        <v/>
      </c>
      <c r="D670" s="260">
        <f/>
        <v/>
      </c>
      <c r="E670" s="260">
        <f/>
        <v/>
      </c>
      <c r="F670" s="260" t="n"/>
      <c r="G670" s="260">
        <f/>
        <v/>
      </c>
      <c r="H670" s="260">
        <f/>
        <v/>
      </c>
      <c r="I670" s="260">
        <f/>
        <v/>
      </c>
      <c r="J670" s="260">
        <f/>
        <v/>
      </c>
      <c r="K670" s="260">
        <f/>
        <v/>
      </c>
      <c r="L670" s="260">
        <f/>
        <v/>
      </c>
    </row>
    <row r="671" ht="16.5" customHeight="1" s="124">
      <c r="A671" s="123">
        <f>[1]預算內選單資料來源!A671</f>
        <v/>
      </c>
      <c r="B671" s="260">
        <f>[1]預算內選單資料來源!B671</f>
        <v/>
      </c>
      <c r="C671" s="260">
        <f/>
        <v/>
      </c>
      <c r="D671" s="260">
        <f/>
        <v/>
      </c>
      <c r="E671" s="260">
        <f/>
        <v/>
      </c>
      <c r="F671" s="260" t="n"/>
      <c r="G671" s="260">
        <f/>
        <v/>
      </c>
      <c r="H671" s="260">
        <f/>
        <v/>
      </c>
      <c r="I671" s="260">
        <f/>
        <v/>
      </c>
      <c r="J671" s="260">
        <f/>
        <v/>
      </c>
      <c r="K671" s="260">
        <f/>
        <v/>
      </c>
      <c r="L671" s="260">
        <f/>
        <v/>
      </c>
    </row>
    <row r="672" ht="16.5" customHeight="1" s="124">
      <c r="A672" s="123">
        <f>[1]預算內選單資料來源!A672</f>
        <v/>
      </c>
      <c r="B672" s="260">
        <f>[1]預算內選單資料來源!B672</f>
        <v/>
      </c>
      <c r="C672" s="260">
        <f/>
        <v/>
      </c>
      <c r="D672" s="260">
        <f/>
        <v/>
      </c>
      <c r="E672" s="260">
        <f/>
        <v/>
      </c>
      <c r="F672" s="260" t="n"/>
      <c r="G672" s="260">
        <f/>
        <v/>
      </c>
      <c r="H672" s="260">
        <f/>
        <v/>
      </c>
      <c r="I672" s="260">
        <f/>
        <v/>
      </c>
      <c r="J672" s="260">
        <f/>
        <v/>
      </c>
      <c r="K672" s="260">
        <f/>
        <v/>
      </c>
      <c r="L672" s="260">
        <f/>
        <v/>
      </c>
    </row>
    <row r="673" ht="16.5" customHeight="1" s="124">
      <c r="A673" s="123">
        <f>[1]預算內選單資料來源!A673</f>
        <v/>
      </c>
      <c r="B673" s="260">
        <f>[1]預算內選單資料來源!B673</f>
        <v/>
      </c>
      <c r="C673" s="260">
        <f/>
        <v/>
      </c>
      <c r="D673" s="260">
        <f/>
        <v/>
      </c>
      <c r="E673" s="260">
        <f/>
        <v/>
      </c>
      <c r="F673" s="260" t="n"/>
      <c r="G673" s="260">
        <f/>
        <v/>
      </c>
      <c r="H673" s="260">
        <f/>
        <v/>
      </c>
      <c r="I673" s="260">
        <f/>
        <v/>
      </c>
      <c r="J673" s="260">
        <f/>
        <v/>
      </c>
      <c r="K673" s="260">
        <f/>
        <v/>
      </c>
      <c r="L673" s="260">
        <f/>
        <v/>
      </c>
    </row>
    <row r="674" ht="16.5" customHeight="1" s="124">
      <c r="A674" s="123">
        <f>[1]預算內選單資料來源!A674</f>
        <v/>
      </c>
      <c r="B674" s="260">
        <f>[1]預算內選單資料來源!B674</f>
        <v/>
      </c>
      <c r="C674" s="260">
        <f/>
        <v/>
      </c>
      <c r="D674" s="260">
        <f/>
        <v/>
      </c>
      <c r="E674" s="260">
        <f/>
        <v/>
      </c>
      <c r="F674" s="260" t="n"/>
      <c r="G674" s="260">
        <f/>
        <v/>
      </c>
      <c r="H674" s="260">
        <f/>
        <v/>
      </c>
      <c r="I674" s="260">
        <f/>
        <v/>
      </c>
      <c r="J674" s="260">
        <f/>
        <v/>
      </c>
      <c r="K674" s="260">
        <f/>
        <v/>
      </c>
      <c r="L674" s="260">
        <f/>
        <v/>
      </c>
    </row>
    <row r="675" ht="16.5" customHeight="1" s="124">
      <c r="A675" s="123">
        <f>[1]預算內選單資料來源!A675</f>
        <v/>
      </c>
      <c r="B675" s="260">
        <f>[1]預算內選單資料來源!B675</f>
        <v/>
      </c>
      <c r="C675" s="260">
        <f/>
        <v/>
      </c>
      <c r="D675" s="260">
        <f/>
        <v/>
      </c>
      <c r="E675" s="260">
        <f/>
        <v/>
      </c>
      <c r="F675" s="260" t="n"/>
      <c r="G675" s="260">
        <f/>
        <v/>
      </c>
      <c r="H675" s="260">
        <f/>
        <v/>
      </c>
      <c r="I675" s="260">
        <f/>
        <v/>
      </c>
      <c r="J675" s="260">
        <f/>
        <v/>
      </c>
      <c r="K675" s="260">
        <f/>
        <v/>
      </c>
      <c r="L675" s="260">
        <f/>
        <v/>
      </c>
    </row>
    <row r="676" ht="16.5" customHeight="1" s="124">
      <c r="A676" s="123">
        <f>[1]預算內選單資料來源!A676</f>
        <v/>
      </c>
      <c r="B676" s="260">
        <f>[1]預算內選單資料來源!B676</f>
        <v/>
      </c>
      <c r="C676" s="260">
        <f/>
        <v/>
      </c>
      <c r="D676" s="260">
        <f/>
        <v/>
      </c>
      <c r="E676" s="260">
        <f/>
        <v/>
      </c>
      <c r="F676" s="260" t="n"/>
      <c r="G676" s="260">
        <f/>
        <v/>
      </c>
      <c r="H676" s="260">
        <f/>
        <v/>
      </c>
      <c r="I676" s="260">
        <f/>
        <v/>
      </c>
      <c r="J676" s="260">
        <f/>
        <v/>
      </c>
      <c r="K676" s="260">
        <f/>
        <v/>
      </c>
      <c r="L676" s="260">
        <f/>
        <v/>
      </c>
    </row>
    <row r="677" ht="16.5" customHeight="1" s="124">
      <c r="A677" s="123">
        <f>[1]預算內選單資料來源!A677</f>
        <v/>
      </c>
      <c r="B677" s="260">
        <f>[1]預算內選單資料來源!B677</f>
        <v/>
      </c>
      <c r="C677" s="260">
        <f/>
        <v/>
      </c>
      <c r="D677" s="260">
        <f/>
        <v/>
      </c>
      <c r="E677" s="260">
        <f/>
        <v/>
      </c>
      <c r="F677" s="260" t="n"/>
      <c r="G677" s="260">
        <f/>
        <v/>
      </c>
      <c r="H677" s="260">
        <f/>
        <v/>
      </c>
      <c r="I677" s="260">
        <f/>
        <v/>
      </c>
      <c r="J677" s="260">
        <f/>
        <v/>
      </c>
      <c r="K677" s="260">
        <f/>
        <v/>
      </c>
      <c r="L677" s="260">
        <f/>
        <v/>
      </c>
    </row>
    <row r="678" ht="16.5" customHeight="1" s="124">
      <c r="A678" s="123">
        <f>[1]預算內選單資料來源!A678</f>
        <v/>
      </c>
      <c r="B678" s="260">
        <f>[1]預算內選單資料來源!B678</f>
        <v/>
      </c>
      <c r="C678" s="260">
        <f/>
        <v/>
      </c>
      <c r="D678" s="260">
        <f/>
        <v/>
      </c>
      <c r="E678" s="260">
        <f/>
        <v/>
      </c>
      <c r="F678" s="260" t="n"/>
      <c r="G678" s="260">
        <f/>
        <v/>
      </c>
      <c r="H678" s="260">
        <f/>
        <v/>
      </c>
      <c r="I678" s="260">
        <f/>
        <v/>
      </c>
      <c r="J678" s="260">
        <f/>
        <v/>
      </c>
      <c r="K678" s="260">
        <f/>
        <v/>
      </c>
      <c r="L678" s="260">
        <f/>
        <v/>
      </c>
    </row>
    <row r="679" ht="16.5" customHeight="1" s="124">
      <c r="A679" s="123">
        <f>[1]預算內選單資料來源!A679</f>
        <v/>
      </c>
      <c r="B679" s="260">
        <f>[1]預算內選單資料來源!B679</f>
        <v/>
      </c>
      <c r="C679" s="260">
        <f/>
        <v/>
      </c>
      <c r="D679" s="260">
        <f/>
        <v/>
      </c>
      <c r="E679" s="260">
        <f/>
        <v/>
      </c>
      <c r="F679" s="260" t="n"/>
      <c r="G679" s="260">
        <f/>
        <v/>
      </c>
      <c r="H679" s="260">
        <f/>
        <v/>
      </c>
      <c r="I679" s="260">
        <f/>
        <v/>
      </c>
      <c r="J679" s="260">
        <f/>
        <v/>
      </c>
      <c r="K679" s="260">
        <f/>
        <v/>
      </c>
      <c r="L679" s="260">
        <f/>
        <v/>
      </c>
    </row>
    <row r="680" ht="16.5" customHeight="1" s="124">
      <c r="A680" s="123">
        <f>[1]預算內選單資料來源!A680</f>
        <v/>
      </c>
      <c r="B680" s="260">
        <f>[1]預算內選單資料來源!B680</f>
        <v/>
      </c>
      <c r="C680" s="260">
        <f/>
        <v/>
      </c>
      <c r="D680" s="260">
        <f/>
        <v/>
      </c>
      <c r="E680" s="260">
        <f/>
        <v/>
      </c>
      <c r="F680" s="260" t="n"/>
      <c r="G680" s="260">
        <f/>
        <v/>
      </c>
      <c r="H680" s="260">
        <f/>
        <v/>
      </c>
      <c r="I680" s="260">
        <f/>
        <v/>
      </c>
      <c r="J680" s="260">
        <f/>
        <v/>
      </c>
      <c r="K680" s="260">
        <f/>
        <v/>
      </c>
      <c r="L680" s="260">
        <f/>
        <v/>
      </c>
    </row>
    <row r="681" ht="16.5" customHeight="1" s="124">
      <c r="A681" s="123">
        <f>[1]預算內選單資料來源!A681</f>
        <v/>
      </c>
      <c r="B681" s="260">
        <f>[1]預算內選單資料來源!B681</f>
        <v/>
      </c>
      <c r="C681" s="260">
        <f/>
        <v/>
      </c>
      <c r="D681" s="260">
        <f/>
        <v/>
      </c>
      <c r="E681" s="260">
        <f/>
        <v/>
      </c>
      <c r="F681" s="260" t="n"/>
      <c r="G681" s="260">
        <f/>
        <v/>
      </c>
      <c r="H681" s="260">
        <f/>
        <v/>
      </c>
      <c r="I681" s="260">
        <f/>
        <v/>
      </c>
      <c r="J681" s="260">
        <f/>
        <v/>
      </c>
      <c r="K681" s="260">
        <f/>
        <v/>
      </c>
      <c r="L681" s="260">
        <f/>
        <v/>
      </c>
    </row>
    <row r="682" ht="16.5" customHeight="1" s="124">
      <c r="A682" s="123">
        <f>[1]預算內選單資料來源!A682</f>
        <v/>
      </c>
      <c r="B682" s="260">
        <f>[1]預算內選單資料來源!B682</f>
        <v/>
      </c>
      <c r="C682" s="260">
        <f/>
        <v/>
      </c>
      <c r="D682" s="260">
        <f/>
        <v/>
      </c>
      <c r="E682" s="260">
        <f/>
        <v/>
      </c>
      <c r="F682" s="260" t="n"/>
      <c r="G682" s="260">
        <f/>
        <v/>
      </c>
      <c r="H682" s="260">
        <f/>
        <v/>
      </c>
      <c r="I682" s="260">
        <f/>
        <v/>
      </c>
      <c r="J682" s="260">
        <f/>
        <v/>
      </c>
      <c r="K682" s="260">
        <f/>
        <v/>
      </c>
      <c r="L682" s="260">
        <f/>
        <v/>
      </c>
    </row>
    <row r="683" ht="16.5" customHeight="1" s="124">
      <c r="A683" s="123">
        <f>[1]預算內選單資料來源!A683</f>
        <v/>
      </c>
      <c r="B683" s="260">
        <f>[1]預算內選單資料來源!B683</f>
        <v/>
      </c>
      <c r="C683" s="260">
        <f/>
        <v/>
      </c>
      <c r="D683" s="260">
        <f/>
        <v/>
      </c>
      <c r="E683" s="260">
        <f/>
        <v/>
      </c>
      <c r="F683" s="260" t="n"/>
      <c r="G683" s="260">
        <f/>
        <v/>
      </c>
      <c r="H683" s="260">
        <f/>
        <v/>
      </c>
      <c r="I683" s="260">
        <f/>
        <v/>
      </c>
      <c r="J683" s="260">
        <f/>
        <v/>
      </c>
      <c r="K683" s="260">
        <f/>
        <v/>
      </c>
      <c r="L683" s="260">
        <f/>
        <v/>
      </c>
    </row>
    <row r="684" ht="16.5" customHeight="1" s="124">
      <c r="A684" s="123">
        <f>[1]預算內選單資料來源!A684</f>
        <v/>
      </c>
      <c r="B684" s="260">
        <f>[1]預算內選單資料來源!B684</f>
        <v/>
      </c>
      <c r="C684" s="260">
        <f/>
        <v/>
      </c>
      <c r="D684" s="260">
        <f/>
        <v/>
      </c>
      <c r="E684" s="260">
        <f/>
        <v/>
      </c>
      <c r="F684" s="260" t="n"/>
      <c r="G684" s="260">
        <f/>
        <v/>
      </c>
      <c r="H684" s="260">
        <f/>
        <v/>
      </c>
      <c r="I684" s="260">
        <f/>
        <v/>
      </c>
      <c r="J684" s="260">
        <f/>
        <v/>
      </c>
      <c r="K684" s="260">
        <f/>
        <v/>
      </c>
      <c r="L684" s="260">
        <f/>
        <v/>
      </c>
    </row>
    <row r="685" ht="16.5" customHeight="1" s="124">
      <c r="A685" s="123">
        <f>[1]預算內選單資料來源!A685</f>
        <v/>
      </c>
      <c r="B685" s="260">
        <f>[1]預算內選單資料來源!B685</f>
        <v/>
      </c>
      <c r="C685" s="260">
        <f/>
        <v/>
      </c>
      <c r="D685" s="260">
        <f/>
        <v/>
      </c>
      <c r="E685" s="260">
        <f/>
        <v/>
      </c>
      <c r="F685" s="260" t="n"/>
      <c r="G685" s="260">
        <f/>
        <v/>
      </c>
      <c r="H685" s="260">
        <f/>
        <v/>
      </c>
      <c r="I685" s="260">
        <f/>
        <v/>
      </c>
      <c r="J685" s="260">
        <f/>
        <v/>
      </c>
      <c r="K685" s="260">
        <f/>
        <v/>
      </c>
      <c r="L685" s="260">
        <f/>
        <v/>
      </c>
    </row>
    <row r="686" ht="16.5" customHeight="1" s="124">
      <c r="A686" s="123">
        <f>[1]預算內選單資料來源!A686</f>
        <v/>
      </c>
      <c r="B686" s="260">
        <f>[1]預算內選單資料來源!B686</f>
        <v/>
      </c>
      <c r="C686" s="260">
        <f/>
        <v/>
      </c>
      <c r="D686" s="260">
        <f/>
        <v/>
      </c>
      <c r="E686" s="260">
        <f/>
        <v/>
      </c>
      <c r="F686" s="260" t="n"/>
      <c r="G686" s="260">
        <f/>
        <v/>
      </c>
      <c r="H686" s="260">
        <f/>
        <v/>
      </c>
      <c r="I686" s="260">
        <f/>
        <v/>
      </c>
      <c r="J686" s="260">
        <f/>
        <v/>
      </c>
      <c r="K686" s="260">
        <f/>
        <v/>
      </c>
      <c r="L686" s="260">
        <f/>
        <v/>
      </c>
    </row>
    <row r="687" ht="16.5" customHeight="1" s="124">
      <c r="A687" s="123">
        <f>[1]預算內選單資料來源!A687</f>
        <v/>
      </c>
      <c r="B687" s="260">
        <f>[1]預算內選單資料來源!B687</f>
        <v/>
      </c>
      <c r="C687" s="260">
        <f/>
        <v/>
      </c>
      <c r="D687" s="260">
        <f/>
        <v/>
      </c>
      <c r="E687" s="260">
        <f/>
        <v/>
      </c>
      <c r="F687" s="260" t="n"/>
      <c r="G687" s="260">
        <f/>
        <v/>
      </c>
      <c r="H687" s="260">
        <f/>
        <v/>
      </c>
      <c r="I687" s="260">
        <f/>
        <v/>
      </c>
      <c r="J687" s="260">
        <f/>
        <v/>
      </c>
      <c r="K687" s="260">
        <f/>
        <v/>
      </c>
      <c r="L687" s="260">
        <f/>
        <v/>
      </c>
    </row>
    <row r="688" ht="16.5" customHeight="1" s="124">
      <c r="A688" s="123">
        <f>[1]預算內選單資料來源!A688</f>
        <v/>
      </c>
      <c r="B688" s="260">
        <f>[1]預算內選單資料來源!B688</f>
        <v/>
      </c>
      <c r="C688" s="260">
        <f/>
        <v/>
      </c>
      <c r="D688" s="260">
        <f/>
        <v/>
      </c>
      <c r="E688" s="260">
        <f/>
        <v/>
      </c>
      <c r="F688" s="260" t="n"/>
      <c r="G688" s="260">
        <f/>
        <v/>
      </c>
      <c r="H688" s="260">
        <f/>
        <v/>
      </c>
      <c r="I688" s="260">
        <f/>
        <v/>
      </c>
      <c r="J688" s="260">
        <f/>
        <v/>
      </c>
      <c r="K688" s="260">
        <f/>
        <v/>
      </c>
      <c r="L688" s="260">
        <f/>
        <v/>
      </c>
    </row>
    <row r="689" ht="16.5" customHeight="1" s="124">
      <c r="A689" s="123">
        <f>[1]預算內選單資料來源!A689</f>
        <v/>
      </c>
      <c r="B689" s="260">
        <f>[1]預算內選單資料來源!B689</f>
        <v/>
      </c>
      <c r="C689" s="260">
        <f/>
        <v/>
      </c>
      <c r="D689" s="260">
        <f/>
        <v/>
      </c>
      <c r="E689" s="260">
        <f/>
        <v/>
      </c>
      <c r="F689" s="260" t="n"/>
      <c r="G689" s="260">
        <f/>
        <v/>
      </c>
      <c r="H689" s="260">
        <f/>
        <v/>
      </c>
      <c r="I689" s="260">
        <f/>
        <v/>
      </c>
      <c r="J689" s="260">
        <f/>
        <v/>
      </c>
      <c r="K689" s="260">
        <f/>
        <v/>
      </c>
      <c r="L689" s="260">
        <f/>
        <v/>
      </c>
    </row>
    <row r="690" ht="16.5" customHeight="1" s="124">
      <c r="A690" s="123">
        <f>[1]預算內選單資料來源!A690</f>
        <v/>
      </c>
      <c r="B690" s="260">
        <f>[1]預算內選單資料來源!B690</f>
        <v/>
      </c>
      <c r="C690" s="260">
        <f/>
        <v/>
      </c>
      <c r="D690" s="260">
        <f/>
        <v/>
      </c>
      <c r="E690" s="260">
        <f/>
        <v/>
      </c>
      <c r="F690" s="260" t="n"/>
      <c r="G690" s="260">
        <f/>
        <v/>
      </c>
      <c r="H690" s="260">
        <f/>
        <v/>
      </c>
      <c r="I690" s="260">
        <f/>
        <v/>
      </c>
      <c r="J690" s="260">
        <f/>
        <v/>
      </c>
      <c r="K690" s="260">
        <f/>
        <v/>
      </c>
      <c r="L690" s="260">
        <f/>
        <v/>
      </c>
    </row>
    <row r="691" ht="16.5" customHeight="1" s="124">
      <c r="A691" s="123">
        <f>[1]預算內選單資料來源!A691</f>
        <v/>
      </c>
      <c r="B691" s="260">
        <f>[1]預算內選單資料來源!B691</f>
        <v/>
      </c>
      <c r="C691" s="260">
        <f/>
        <v/>
      </c>
      <c r="D691" s="260">
        <f/>
        <v/>
      </c>
      <c r="E691" s="260">
        <f/>
        <v/>
      </c>
      <c r="F691" s="260" t="n"/>
      <c r="G691" s="260">
        <f/>
        <v/>
      </c>
      <c r="H691" s="260">
        <f/>
        <v/>
      </c>
      <c r="I691" s="260">
        <f/>
        <v/>
      </c>
      <c r="J691" s="260">
        <f/>
        <v/>
      </c>
      <c r="K691" s="260">
        <f/>
        <v/>
      </c>
      <c r="L691" s="260">
        <f/>
        <v/>
      </c>
    </row>
    <row r="692" ht="16.5" customHeight="1" s="124">
      <c r="A692" s="123">
        <f>[1]預算內選單資料來源!A692</f>
        <v/>
      </c>
      <c r="B692" s="260">
        <f>[1]預算內選單資料來源!B692</f>
        <v/>
      </c>
      <c r="C692" s="260">
        <f/>
        <v/>
      </c>
      <c r="D692" s="260">
        <f/>
        <v/>
      </c>
      <c r="E692" s="260">
        <f/>
        <v/>
      </c>
      <c r="F692" s="260" t="n"/>
      <c r="G692" s="260">
        <f/>
        <v/>
      </c>
      <c r="H692" s="260">
        <f/>
        <v/>
      </c>
      <c r="I692" s="260">
        <f/>
        <v/>
      </c>
      <c r="J692" s="260">
        <f/>
        <v/>
      </c>
      <c r="K692" s="260">
        <f/>
        <v/>
      </c>
      <c r="L692" s="260">
        <f/>
        <v/>
      </c>
    </row>
    <row r="693" ht="16.5" customHeight="1" s="124">
      <c r="A693" s="123">
        <f>[1]預算內選單資料來源!A693</f>
        <v/>
      </c>
      <c r="B693" s="260">
        <f>[1]預算內選單資料來源!B693</f>
        <v/>
      </c>
      <c r="C693" s="260">
        <f/>
        <v/>
      </c>
      <c r="D693" s="260">
        <f/>
        <v/>
      </c>
      <c r="E693" s="260">
        <f/>
        <v/>
      </c>
      <c r="F693" s="260" t="n"/>
      <c r="G693" s="260">
        <f/>
        <v/>
      </c>
      <c r="H693" s="260">
        <f/>
        <v/>
      </c>
      <c r="I693" s="260">
        <f/>
        <v/>
      </c>
      <c r="J693" s="260">
        <f/>
        <v/>
      </c>
      <c r="K693" s="260">
        <f/>
        <v/>
      </c>
      <c r="L693" s="260">
        <f/>
        <v/>
      </c>
    </row>
    <row r="694" ht="16.5" customHeight="1" s="124">
      <c r="A694" s="123">
        <f/>
        <v/>
      </c>
      <c r="B694" s="260">
        <f/>
        <v/>
      </c>
      <c r="C694" s="260">
        <f/>
        <v/>
      </c>
      <c r="D694" s="260">
        <f/>
        <v/>
      </c>
      <c r="E694" s="260">
        <f/>
        <v/>
      </c>
      <c r="F694" s="260" t="n"/>
      <c r="G694" s="260">
        <f/>
        <v/>
      </c>
      <c r="H694" s="260">
        <f/>
        <v/>
      </c>
      <c r="I694" s="260">
        <f/>
        <v/>
      </c>
      <c r="J694" s="260">
        <f/>
        <v/>
      </c>
      <c r="K694" s="260">
        <f/>
        <v/>
      </c>
      <c r="L694" s="260">
        <f/>
        <v/>
      </c>
    </row>
    <row r="695" ht="16.5" customHeight="1" s="124">
      <c r="A695" s="123">
        <f/>
        <v/>
      </c>
      <c r="B695" s="260">
        <f/>
        <v/>
      </c>
      <c r="C695" s="260">
        <f/>
        <v/>
      </c>
      <c r="D695" s="260">
        <f/>
        <v/>
      </c>
      <c r="E695" s="260">
        <f/>
        <v/>
      </c>
      <c r="F695" s="260" t="n"/>
      <c r="G695" s="260">
        <f/>
        <v/>
      </c>
      <c r="H695" s="260">
        <f/>
        <v/>
      </c>
      <c r="I695" s="260">
        <f/>
        <v/>
      </c>
      <c r="J695" s="260">
        <f/>
        <v/>
      </c>
      <c r="K695" s="260">
        <f/>
        <v/>
      </c>
      <c r="L695" s="260">
        <f/>
        <v/>
      </c>
    </row>
    <row r="696" ht="16.5" customHeight="1" s="124">
      <c r="A696" s="123">
        <f/>
        <v/>
      </c>
      <c r="B696" s="260">
        <f/>
        <v/>
      </c>
      <c r="C696" s="260">
        <f/>
        <v/>
      </c>
      <c r="D696" s="260">
        <f/>
        <v/>
      </c>
      <c r="E696" s="260">
        <f/>
        <v/>
      </c>
      <c r="F696" s="260" t="n"/>
      <c r="G696" s="260">
        <f/>
        <v/>
      </c>
      <c r="H696" s="260">
        <f/>
        <v/>
      </c>
      <c r="I696" s="260">
        <f/>
        <v/>
      </c>
      <c r="J696" s="260">
        <f/>
        <v/>
      </c>
      <c r="K696" s="260">
        <f/>
        <v/>
      </c>
      <c r="L696" s="260">
        <f/>
        <v/>
      </c>
    </row>
    <row r="697" ht="16.5" customHeight="1" s="124">
      <c r="A697" s="123">
        <f/>
        <v/>
      </c>
      <c r="B697" s="260">
        <f/>
        <v/>
      </c>
      <c r="C697" s="260">
        <f/>
        <v/>
      </c>
      <c r="D697" s="260">
        <f/>
        <v/>
      </c>
      <c r="E697" s="260">
        <f/>
        <v/>
      </c>
      <c r="F697" s="260" t="n"/>
      <c r="G697" s="260">
        <f/>
        <v/>
      </c>
      <c r="H697" s="260">
        <f/>
        <v/>
      </c>
      <c r="I697" s="260">
        <f/>
        <v/>
      </c>
      <c r="J697" s="260">
        <f/>
        <v/>
      </c>
      <c r="K697" s="260">
        <f/>
        <v/>
      </c>
      <c r="L697" s="260">
        <f/>
        <v/>
      </c>
    </row>
    <row r="698" ht="16.5" customHeight="1" s="124">
      <c r="A698" s="123">
        <f/>
        <v/>
      </c>
      <c r="B698" s="260">
        <f/>
        <v/>
      </c>
      <c r="C698" s="260">
        <f/>
        <v/>
      </c>
      <c r="D698" s="260">
        <f/>
        <v/>
      </c>
      <c r="E698" s="260">
        <f/>
        <v/>
      </c>
      <c r="F698" s="260" t="n"/>
      <c r="G698" s="260">
        <f/>
        <v/>
      </c>
      <c r="H698" s="260">
        <f/>
        <v/>
      </c>
      <c r="I698" s="260">
        <f/>
        <v/>
      </c>
      <c r="J698" s="260">
        <f/>
        <v/>
      </c>
      <c r="K698" s="260">
        <f/>
        <v/>
      </c>
      <c r="L698" s="260">
        <f/>
        <v/>
      </c>
    </row>
    <row r="699" ht="16.5" customHeight="1" s="124">
      <c r="A699" s="123">
        <f/>
        <v/>
      </c>
      <c r="B699" s="260">
        <f/>
        <v/>
      </c>
      <c r="C699" s="260">
        <f/>
        <v/>
      </c>
      <c r="D699" s="260">
        <f/>
        <v/>
      </c>
      <c r="E699" s="260">
        <f/>
        <v/>
      </c>
      <c r="F699" s="260" t="n"/>
      <c r="G699" s="260">
        <f/>
        <v/>
      </c>
      <c r="H699" s="260">
        <f/>
        <v/>
      </c>
      <c r="I699" s="260">
        <f/>
        <v/>
      </c>
      <c r="J699" s="260">
        <f/>
        <v/>
      </c>
      <c r="K699" s="260">
        <f/>
        <v/>
      </c>
      <c r="L699" s="260">
        <f/>
        <v/>
      </c>
    </row>
    <row r="700" ht="16.5" customHeight="1" s="124">
      <c r="A700" s="123">
        <f/>
        <v/>
      </c>
      <c r="B700" s="260">
        <f/>
        <v/>
      </c>
      <c r="C700" s="260">
        <f/>
        <v/>
      </c>
      <c r="D700" s="260">
        <f/>
        <v/>
      </c>
      <c r="E700" s="260">
        <f/>
        <v/>
      </c>
      <c r="F700" s="260" t="n"/>
      <c r="G700" s="260">
        <f/>
        <v/>
      </c>
      <c r="H700" s="260">
        <f/>
        <v/>
      </c>
      <c r="I700" s="260">
        <f/>
        <v/>
      </c>
      <c r="J700" s="260">
        <f/>
        <v/>
      </c>
      <c r="K700" s="260">
        <f/>
        <v/>
      </c>
      <c r="L700" s="260">
        <f/>
        <v/>
      </c>
    </row>
    <row r="701" ht="16.5" customHeight="1" s="124">
      <c r="A701" s="123">
        <f/>
        <v/>
      </c>
      <c r="B701" s="260">
        <f/>
        <v/>
      </c>
      <c r="C701" s="260">
        <f/>
        <v/>
      </c>
      <c r="D701" s="260">
        <f/>
        <v/>
      </c>
      <c r="E701" s="260">
        <f/>
        <v/>
      </c>
      <c r="F701" s="260" t="n"/>
      <c r="G701" s="260">
        <f/>
        <v/>
      </c>
      <c r="H701" s="260">
        <f/>
        <v/>
      </c>
      <c r="I701" s="260">
        <f/>
        <v/>
      </c>
      <c r="J701" s="260">
        <f/>
        <v/>
      </c>
      <c r="K701" s="260">
        <f/>
        <v/>
      </c>
      <c r="L701" s="260">
        <f/>
        <v/>
      </c>
    </row>
    <row r="702" ht="16.5" customHeight="1" s="124">
      <c r="A702" s="123">
        <f/>
        <v/>
      </c>
      <c r="B702" s="260">
        <f/>
        <v/>
      </c>
      <c r="C702" s="260">
        <f/>
        <v/>
      </c>
      <c r="D702" s="260">
        <f/>
        <v/>
      </c>
      <c r="E702" s="260">
        <f/>
        <v/>
      </c>
      <c r="F702" s="260" t="n"/>
      <c r="G702" s="260">
        <f/>
        <v/>
      </c>
      <c r="H702" s="260">
        <f/>
        <v/>
      </c>
      <c r="I702" s="260">
        <f/>
        <v/>
      </c>
      <c r="J702" s="260">
        <f/>
        <v/>
      </c>
      <c r="K702" s="260">
        <f/>
        <v/>
      </c>
      <c r="L702" s="260">
        <f/>
        <v/>
      </c>
    </row>
    <row r="703" ht="16.5" customHeight="1" s="124">
      <c r="A703" s="123">
        <f/>
        <v/>
      </c>
      <c r="B703" s="260">
        <f/>
        <v/>
      </c>
      <c r="C703" s="260">
        <f/>
        <v/>
      </c>
      <c r="D703" s="260">
        <f/>
        <v/>
      </c>
      <c r="E703" s="260">
        <f/>
        <v/>
      </c>
      <c r="F703" s="260" t="n"/>
      <c r="G703" s="260">
        <f/>
        <v/>
      </c>
      <c r="H703" s="260">
        <f/>
        <v/>
      </c>
      <c r="I703" s="260">
        <f/>
        <v/>
      </c>
      <c r="J703" s="260">
        <f/>
        <v/>
      </c>
      <c r="K703" s="260">
        <f/>
        <v/>
      </c>
      <c r="L703" s="260">
        <f/>
        <v/>
      </c>
    </row>
    <row r="704" ht="16.5" customHeight="1" s="124">
      <c r="A704" s="123">
        <f/>
        <v/>
      </c>
      <c r="B704" s="260">
        <f/>
        <v/>
      </c>
      <c r="C704" s="260">
        <f/>
        <v/>
      </c>
      <c r="D704" s="260">
        <f/>
        <v/>
      </c>
      <c r="E704" s="260">
        <f/>
        <v/>
      </c>
      <c r="F704" s="260" t="n"/>
      <c r="G704" s="260">
        <f/>
        <v/>
      </c>
      <c r="H704" s="260">
        <f/>
        <v/>
      </c>
      <c r="I704" s="260">
        <f/>
        <v/>
      </c>
      <c r="J704" s="260">
        <f/>
        <v/>
      </c>
      <c r="K704" s="260">
        <f/>
        <v/>
      </c>
      <c r="L704" s="260">
        <f/>
        <v/>
      </c>
    </row>
    <row r="705" ht="16.5" customHeight="1" s="124">
      <c r="A705" s="123">
        <f/>
        <v/>
      </c>
      <c r="B705" s="260">
        <f/>
        <v/>
      </c>
      <c r="C705" s="260">
        <f/>
        <v/>
      </c>
      <c r="D705" s="260">
        <f/>
        <v/>
      </c>
      <c r="E705" s="260">
        <f/>
        <v/>
      </c>
      <c r="F705" s="260" t="n"/>
      <c r="G705" s="260">
        <f/>
        <v/>
      </c>
      <c r="H705" s="260">
        <f/>
        <v/>
      </c>
      <c r="I705" s="260">
        <f/>
        <v/>
      </c>
      <c r="J705" s="260">
        <f/>
        <v/>
      </c>
      <c r="K705" s="260">
        <f/>
        <v/>
      </c>
      <c r="L705" s="260">
        <f/>
        <v/>
      </c>
    </row>
    <row r="706" ht="16.5" customHeight="1" s="124">
      <c r="A706" s="123">
        <f/>
        <v/>
      </c>
      <c r="B706" s="260">
        <f/>
        <v/>
      </c>
      <c r="C706" s="260">
        <f/>
        <v/>
      </c>
      <c r="D706" s="260">
        <f/>
        <v/>
      </c>
      <c r="E706" s="260">
        <f/>
        <v/>
      </c>
      <c r="F706" s="260" t="n"/>
      <c r="G706" s="260">
        <f/>
        <v/>
      </c>
      <c r="H706" s="260">
        <f/>
        <v/>
      </c>
      <c r="I706" s="260">
        <f/>
        <v/>
      </c>
      <c r="J706" s="260">
        <f/>
        <v/>
      </c>
      <c r="K706" s="260">
        <f/>
        <v/>
      </c>
      <c r="L706" s="260">
        <f/>
        <v/>
      </c>
    </row>
    <row r="707" ht="16.5" customHeight="1" s="124">
      <c r="A707" s="123">
        <f/>
        <v/>
      </c>
      <c r="B707" s="260">
        <f/>
        <v/>
      </c>
      <c r="C707" s="260">
        <f/>
        <v/>
      </c>
      <c r="D707" s="260">
        <f/>
        <v/>
      </c>
      <c r="E707" s="260">
        <f/>
        <v/>
      </c>
      <c r="F707" s="260" t="n"/>
      <c r="G707" s="260">
        <f/>
        <v/>
      </c>
      <c r="H707" s="260">
        <f/>
        <v/>
      </c>
      <c r="I707" s="260">
        <f/>
        <v/>
      </c>
      <c r="J707" s="260">
        <f/>
        <v/>
      </c>
      <c r="K707" s="260">
        <f/>
        <v/>
      </c>
      <c r="L707" s="260">
        <f/>
        <v/>
      </c>
    </row>
    <row r="708" ht="16.5" customHeight="1" s="124">
      <c r="A708" s="123">
        <f/>
        <v/>
      </c>
      <c r="B708" s="260">
        <f/>
        <v/>
      </c>
      <c r="C708" s="260">
        <f/>
        <v/>
      </c>
      <c r="D708" s="260">
        <f/>
        <v/>
      </c>
      <c r="E708" s="260">
        <f/>
        <v/>
      </c>
      <c r="F708" s="260" t="n"/>
      <c r="G708" s="260">
        <f/>
        <v/>
      </c>
      <c r="H708" s="260">
        <f/>
        <v/>
      </c>
      <c r="I708" s="260">
        <f/>
        <v/>
      </c>
      <c r="J708" s="260">
        <f/>
        <v/>
      </c>
      <c r="K708" s="260">
        <f/>
        <v/>
      </c>
      <c r="L708" s="260">
        <f/>
        <v/>
      </c>
    </row>
    <row r="709" ht="16.5" customHeight="1" s="124">
      <c r="A709" s="123">
        <f/>
        <v/>
      </c>
      <c r="B709" s="260">
        <f/>
        <v/>
      </c>
      <c r="C709" s="260">
        <f/>
        <v/>
      </c>
      <c r="D709" s="260">
        <f/>
        <v/>
      </c>
      <c r="E709" s="260">
        <f/>
        <v/>
      </c>
      <c r="F709" s="260" t="n"/>
      <c r="G709" s="260">
        <f/>
        <v/>
      </c>
      <c r="H709" s="260">
        <f/>
        <v/>
      </c>
      <c r="I709" s="260">
        <f/>
        <v/>
      </c>
      <c r="J709" s="260">
        <f/>
        <v/>
      </c>
      <c r="K709" s="260">
        <f/>
        <v/>
      </c>
      <c r="L709" s="260">
        <f/>
        <v/>
      </c>
    </row>
    <row r="710" ht="16.5" customHeight="1" s="124">
      <c r="A710" s="123">
        <f/>
        <v/>
      </c>
      <c r="B710" s="260">
        <f/>
        <v/>
      </c>
      <c r="C710" s="260">
        <f/>
        <v/>
      </c>
      <c r="D710" s="260">
        <f/>
        <v/>
      </c>
      <c r="E710" s="260">
        <f/>
        <v/>
      </c>
      <c r="F710" s="260" t="n"/>
      <c r="G710" s="260">
        <f/>
        <v/>
      </c>
      <c r="H710" s="260">
        <f/>
        <v/>
      </c>
      <c r="I710" s="260">
        <f/>
        <v/>
      </c>
      <c r="J710" s="260">
        <f/>
        <v/>
      </c>
      <c r="K710" s="260">
        <f/>
        <v/>
      </c>
      <c r="L710" s="260">
        <f/>
        <v/>
      </c>
    </row>
    <row r="711" ht="16.5" customHeight="1" s="124">
      <c r="A711" s="123">
        <f/>
        <v/>
      </c>
      <c r="B711" s="260">
        <f/>
        <v/>
      </c>
      <c r="C711" s="260">
        <f/>
        <v/>
      </c>
      <c r="D711" s="260">
        <f/>
        <v/>
      </c>
      <c r="E711" s="260">
        <f/>
        <v/>
      </c>
      <c r="F711" s="260" t="n"/>
      <c r="G711" s="260">
        <f/>
        <v/>
      </c>
      <c r="H711" s="260">
        <f/>
        <v/>
      </c>
      <c r="I711" s="260">
        <f/>
        <v/>
      </c>
      <c r="J711" s="260">
        <f/>
        <v/>
      </c>
      <c r="K711" s="260">
        <f/>
        <v/>
      </c>
      <c r="L711" s="260">
        <f/>
        <v/>
      </c>
    </row>
    <row r="712" ht="16.5" customHeight="1" s="124">
      <c r="A712" s="123">
        <f/>
        <v/>
      </c>
      <c r="B712" s="260">
        <f/>
        <v/>
      </c>
      <c r="C712" s="260">
        <f/>
        <v/>
      </c>
      <c r="D712" s="260">
        <f/>
        <v/>
      </c>
      <c r="E712" s="260">
        <f/>
        <v/>
      </c>
      <c r="F712" s="260" t="n"/>
      <c r="G712" s="260">
        <f/>
        <v/>
      </c>
      <c r="H712" s="260">
        <f/>
        <v/>
      </c>
      <c r="I712" s="260">
        <f/>
        <v/>
      </c>
      <c r="J712" s="260">
        <f/>
        <v/>
      </c>
      <c r="K712" s="260">
        <f/>
        <v/>
      </c>
      <c r="L712" s="260">
        <f/>
        <v/>
      </c>
    </row>
    <row r="713" ht="16.5" customHeight="1" s="124">
      <c r="A713" s="123">
        <f/>
        <v/>
      </c>
      <c r="B713" s="260">
        <f/>
        <v/>
      </c>
      <c r="C713" s="260">
        <f/>
        <v/>
      </c>
      <c r="D713" s="260">
        <f/>
        <v/>
      </c>
      <c r="E713" s="260">
        <f/>
        <v/>
      </c>
      <c r="F713" s="260" t="n"/>
      <c r="G713" s="260">
        <f/>
        <v/>
      </c>
      <c r="H713" s="260">
        <f/>
        <v/>
      </c>
      <c r="I713" s="260">
        <f/>
        <v/>
      </c>
      <c r="J713" s="260">
        <f/>
        <v/>
      </c>
      <c r="K713" s="260">
        <f/>
        <v/>
      </c>
      <c r="L713" s="260">
        <f/>
        <v/>
      </c>
    </row>
    <row r="714" ht="16.5" customHeight="1" s="124">
      <c r="A714" s="123">
        <f/>
        <v/>
      </c>
      <c r="B714" s="260">
        <f/>
        <v/>
      </c>
      <c r="C714" s="260">
        <f/>
        <v/>
      </c>
      <c r="D714" s="260">
        <f/>
        <v/>
      </c>
      <c r="E714" s="260">
        <f/>
        <v/>
      </c>
      <c r="F714" s="260" t="n"/>
      <c r="G714" s="260">
        <f/>
        <v/>
      </c>
      <c r="H714" s="260">
        <f/>
        <v/>
      </c>
      <c r="I714" s="260">
        <f/>
        <v/>
      </c>
      <c r="J714" s="260">
        <f/>
        <v/>
      </c>
      <c r="K714" s="260">
        <f/>
        <v/>
      </c>
      <c r="L714" s="260">
        <f/>
        <v/>
      </c>
    </row>
    <row r="715" ht="16.5" customHeight="1" s="124">
      <c r="A715" s="123">
        <f/>
        <v/>
      </c>
      <c r="B715" s="260">
        <f/>
        <v/>
      </c>
      <c r="C715" s="260">
        <f/>
        <v/>
      </c>
      <c r="D715" s="260">
        <f/>
        <v/>
      </c>
      <c r="E715" s="260">
        <f/>
        <v/>
      </c>
      <c r="F715" s="260" t="n"/>
      <c r="G715" s="260">
        <f/>
        <v/>
      </c>
      <c r="H715" s="260">
        <f/>
        <v/>
      </c>
      <c r="I715" s="260">
        <f/>
        <v/>
      </c>
      <c r="J715" s="260">
        <f/>
        <v/>
      </c>
      <c r="K715" s="260">
        <f/>
        <v/>
      </c>
      <c r="L715" s="260">
        <f/>
        <v/>
      </c>
    </row>
    <row r="716" ht="16.5" customHeight="1" s="124">
      <c r="A716" s="123">
        <f/>
        <v/>
      </c>
      <c r="B716" s="260">
        <f/>
        <v/>
      </c>
      <c r="C716" s="260">
        <f/>
        <v/>
      </c>
      <c r="D716" s="260">
        <f/>
        <v/>
      </c>
      <c r="E716" s="260">
        <f/>
        <v/>
      </c>
      <c r="F716" s="260" t="n"/>
      <c r="G716" s="260">
        <f/>
        <v/>
      </c>
      <c r="H716" s="260">
        <f/>
        <v/>
      </c>
      <c r="I716" s="260">
        <f/>
        <v/>
      </c>
      <c r="J716" s="260">
        <f/>
        <v/>
      </c>
      <c r="K716" s="260">
        <f/>
        <v/>
      </c>
      <c r="L716" s="260">
        <f/>
        <v/>
      </c>
    </row>
    <row r="717" ht="16.5" customHeight="1" s="124">
      <c r="A717" s="123">
        <f/>
        <v/>
      </c>
      <c r="B717" s="260">
        <f/>
        <v/>
      </c>
      <c r="C717" s="260">
        <f/>
        <v/>
      </c>
      <c r="D717" s="260">
        <f/>
        <v/>
      </c>
      <c r="E717" s="260">
        <f/>
        <v/>
      </c>
      <c r="F717" s="260" t="n"/>
      <c r="G717" s="260">
        <f/>
        <v/>
      </c>
      <c r="H717" s="260">
        <f/>
        <v/>
      </c>
      <c r="I717" s="260">
        <f/>
        <v/>
      </c>
      <c r="J717" s="260">
        <f/>
        <v/>
      </c>
      <c r="K717" s="260">
        <f/>
        <v/>
      </c>
      <c r="L717" s="260">
        <f/>
        <v/>
      </c>
    </row>
    <row r="718" ht="16.5" customHeight="1" s="124">
      <c r="A718" s="123">
        <f/>
        <v/>
      </c>
      <c r="B718" s="260">
        <f/>
        <v/>
      </c>
      <c r="C718" s="260">
        <f/>
        <v/>
      </c>
      <c r="D718" s="260">
        <f/>
        <v/>
      </c>
      <c r="E718" s="260">
        <f/>
        <v/>
      </c>
      <c r="F718" s="260" t="n"/>
      <c r="G718" s="260">
        <f/>
        <v/>
      </c>
      <c r="H718" s="260">
        <f/>
        <v/>
      </c>
      <c r="I718" s="260">
        <f/>
        <v/>
      </c>
      <c r="J718" s="260">
        <f/>
        <v/>
      </c>
      <c r="K718" s="260">
        <f/>
        <v/>
      </c>
      <c r="L718" s="260">
        <f/>
        <v/>
      </c>
    </row>
    <row r="719" ht="16.5" customHeight="1" s="124">
      <c r="A719" s="123">
        <f/>
        <v/>
      </c>
      <c r="B719" s="260">
        <f/>
        <v/>
      </c>
      <c r="C719" s="260">
        <f/>
        <v/>
      </c>
      <c r="D719" s="260">
        <f/>
        <v/>
      </c>
      <c r="E719" s="260">
        <f/>
        <v/>
      </c>
      <c r="F719" s="260" t="n"/>
      <c r="G719" s="260">
        <f/>
        <v/>
      </c>
      <c r="H719" s="260">
        <f/>
        <v/>
      </c>
      <c r="I719" s="260">
        <f/>
        <v/>
      </c>
      <c r="J719" s="260">
        <f/>
        <v/>
      </c>
      <c r="K719" s="260">
        <f/>
        <v/>
      </c>
      <c r="L719" s="260">
        <f/>
        <v/>
      </c>
    </row>
    <row r="720" ht="16.5" customHeight="1" s="124">
      <c r="A720" s="123">
        <f/>
        <v/>
      </c>
      <c r="B720" s="260">
        <f/>
        <v/>
      </c>
      <c r="C720" s="260">
        <f/>
        <v/>
      </c>
      <c r="D720" s="260">
        <f/>
        <v/>
      </c>
      <c r="E720" s="260">
        <f/>
        <v/>
      </c>
      <c r="F720" s="260" t="n"/>
      <c r="G720" s="260">
        <f/>
        <v/>
      </c>
      <c r="H720" s="260">
        <f/>
        <v/>
      </c>
      <c r="I720" s="260">
        <f/>
        <v/>
      </c>
      <c r="J720" s="260">
        <f/>
        <v/>
      </c>
      <c r="K720" s="260">
        <f/>
        <v/>
      </c>
      <c r="L720" s="260">
        <f/>
        <v/>
      </c>
    </row>
    <row r="721" ht="16.5" customHeight="1" s="124">
      <c r="A721" s="123">
        <f/>
        <v/>
      </c>
      <c r="B721" s="260">
        <f/>
        <v/>
      </c>
      <c r="C721" s="260">
        <f/>
        <v/>
      </c>
      <c r="D721" s="260">
        <f/>
        <v/>
      </c>
      <c r="E721" s="260">
        <f/>
        <v/>
      </c>
      <c r="F721" s="260" t="n"/>
      <c r="G721" s="260">
        <f/>
        <v/>
      </c>
      <c r="H721" s="260">
        <f/>
        <v/>
      </c>
      <c r="I721" s="260">
        <f/>
        <v/>
      </c>
      <c r="J721" s="260">
        <f/>
        <v/>
      </c>
      <c r="K721" s="260">
        <f/>
        <v/>
      </c>
      <c r="L721" s="260">
        <f/>
        <v/>
      </c>
    </row>
    <row r="722" ht="16.5" customHeight="1" s="124">
      <c r="A722" s="123">
        <f/>
        <v/>
      </c>
      <c r="B722" s="260">
        <f/>
        <v/>
      </c>
      <c r="C722" s="260">
        <f/>
        <v/>
      </c>
      <c r="D722" s="260">
        <f/>
        <v/>
      </c>
      <c r="E722" s="260">
        <f/>
        <v/>
      </c>
      <c r="F722" s="260" t="n"/>
      <c r="G722" s="260">
        <f/>
        <v/>
      </c>
      <c r="H722" s="260">
        <f/>
        <v/>
      </c>
      <c r="I722" s="260">
        <f/>
        <v/>
      </c>
      <c r="J722" s="260">
        <f/>
        <v/>
      </c>
      <c r="K722" s="260">
        <f/>
        <v/>
      </c>
      <c r="L722" s="260">
        <f/>
        <v/>
      </c>
    </row>
    <row r="723" ht="16.5" customHeight="1" s="124">
      <c r="A723" s="123">
        <f/>
        <v/>
      </c>
      <c r="B723" s="260">
        <f/>
        <v/>
      </c>
      <c r="C723" s="260">
        <f/>
        <v/>
      </c>
      <c r="D723" s="260">
        <f/>
        <v/>
      </c>
      <c r="E723" s="260">
        <f/>
        <v/>
      </c>
      <c r="F723" s="260" t="n"/>
      <c r="G723" s="260">
        <f/>
        <v/>
      </c>
      <c r="H723" s="260">
        <f/>
        <v/>
      </c>
      <c r="I723" s="260">
        <f/>
        <v/>
      </c>
      <c r="J723" s="260">
        <f/>
        <v/>
      </c>
      <c r="K723" s="260">
        <f/>
        <v/>
      </c>
      <c r="L723" s="260">
        <f/>
        <v/>
      </c>
    </row>
    <row r="724" ht="16.5" customHeight="1" s="124">
      <c r="A724" s="123">
        <f/>
        <v/>
      </c>
      <c r="B724" s="260">
        <f/>
        <v/>
      </c>
      <c r="C724" s="260">
        <f/>
        <v/>
      </c>
      <c r="D724" s="260">
        <f/>
        <v/>
      </c>
      <c r="E724" s="260">
        <f/>
        <v/>
      </c>
      <c r="F724" s="260" t="n"/>
      <c r="G724" s="260">
        <f/>
        <v/>
      </c>
      <c r="H724" s="260">
        <f/>
        <v/>
      </c>
      <c r="I724" s="260">
        <f/>
        <v/>
      </c>
      <c r="J724" s="260">
        <f/>
        <v/>
      </c>
      <c r="K724" s="260">
        <f/>
        <v/>
      </c>
      <c r="L724" s="260">
        <f/>
        <v/>
      </c>
    </row>
    <row r="725" ht="16.5" customHeight="1" s="124">
      <c r="A725" s="123">
        <f/>
        <v/>
      </c>
      <c r="B725" s="260">
        <f/>
        <v/>
      </c>
      <c r="C725" s="260">
        <f/>
        <v/>
      </c>
      <c r="D725" s="260">
        <f/>
        <v/>
      </c>
      <c r="E725" s="260">
        <f/>
        <v/>
      </c>
      <c r="F725" s="260" t="n"/>
      <c r="G725" s="260">
        <f/>
        <v/>
      </c>
      <c r="H725" s="260">
        <f/>
        <v/>
      </c>
      <c r="I725" s="260">
        <f/>
        <v/>
      </c>
      <c r="J725" s="260">
        <f/>
        <v/>
      </c>
      <c r="K725" s="260">
        <f/>
        <v/>
      </c>
      <c r="L725" s="260">
        <f/>
        <v/>
      </c>
    </row>
    <row r="726" ht="16.5" customHeight="1" s="124">
      <c r="A726" s="123">
        <f/>
        <v/>
      </c>
      <c r="B726" s="260">
        <f/>
        <v/>
      </c>
      <c r="C726" s="260">
        <f/>
        <v/>
      </c>
      <c r="D726" s="260">
        <f/>
        <v/>
      </c>
      <c r="E726" s="260">
        <f/>
        <v/>
      </c>
      <c r="F726" s="260" t="n"/>
      <c r="G726" s="260">
        <f/>
        <v/>
      </c>
      <c r="H726" s="260">
        <f/>
        <v/>
      </c>
      <c r="I726" s="260">
        <f/>
        <v/>
      </c>
      <c r="J726" s="260">
        <f/>
        <v/>
      </c>
      <c r="K726" s="260">
        <f/>
        <v/>
      </c>
      <c r="L726" s="260">
        <f/>
        <v/>
      </c>
    </row>
    <row r="727" ht="16.5" customHeight="1" s="124">
      <c r="A727" s="123">
        <f/>
        <v/>
      </c>
      <c r="B727" s="260">
        <f/>
        <v/>
      </c>
      <c r="C727" s="260">
        <f/>
        <v/>
      </c>
      <c r="D727" s="260">
        <f/>
        <v/>
      </c>
      <c r="E727" s="260">
        <f/>
        <v/>
      </c>
      <c r="F727" s="260" t="n"/>
      <c r="G727" s="260">
        <f/>
        <v/>
      </c>
      <c r="H727" s="260">
        <f/>
        <v/>
      </c>
      <c r="I727" s="260">
        <f/>
        <v/>
      </c>
      <c r="J727" s="260">
        <f/>
        <v/>
      </c>
      <c r="K727" s="260">
        <f/>
        <v/>
      </c>
      <c r="L727" s="260">
        <f/>
        <v/>
      </c>
    </row>
    <row r="728" ht="16.5" customHeight="1" s="124">
      <c r="A728" s="123">
        <f/>
        <v/>
      </c>
      <c r="B728" s="260">
        <f/>
        <v/>
      </c>
      <c r="C728" s="260">
        <f/>
        <v/>
      </c>
      <c r="D728" s="260">
        <f/>
        <v/>
      </c>
      <c r="E728" s="260">
        <f/>
        <v/>
      </c>
      <c r="F728" s="260" t="n"/>
      <c r="G728" s="260">
        <f/>
        <v/>
      </c>
      <c r="H728" s="260">
        <f/>
        <v/>
      </c>
      <c r="I728" s="260">
        <f/>
        <v/>
      </c>
      <c r="J728" s="260">
        <f/>
        <v/>
      </c>
      <c r="K728" s="260">
        <f/>
        <v/>
      </c>
      <c r="L728" s="260">
        <f/>
        <v/>
      </c>
    </row>
    <row r="729" ht="16.5" customHeight="1" s="124">
      <c r="A729" s="123">
        <f/>
        <v/>
      </c>
      <c r="B729" s="260">
        <f/>
        <v/>
      </c>
      <c r="C729" s="260">
        <f/>
        <v/>
      </c>
      <c r="D729" s="260">
        <f/>
        <v/>
      </c>
      <c r="E729" s="260">
        <f/>
        <v/>
      </c>
      <c r="F729" s="260" t="n"/>
      <c r="G729" s="260">
        <f/>
        <v/>
      </c>
      <c r="H729" s="260">
        <f/>
        <v/>
      </c>
      <c r="I729" s="260">
        <f/>
        <v/>
      </c>
      <c r="J729" s="260">
        <f/>
        <v/>
      </c>
      <c r="K729" s="260">
        <f/>
        <v/>
      </c>
      <c r="L729" s="260">
        <f/>
        <v/>
      </c>
    </row>
    <row r="730" ht="16.5" customHeight="1" s="124">
      <c r="A730" s="123">
        <f/>
        <v/>
      </c>
      <c r="B730" s="260">
        <f/>
        <v/>
      </c>
      <c r="C730" s="260">
        <f/>
        <v/>
      </c>
      <c r="D730" s="260">
        <f/>
        <v/>
      </c>
      <c r="E730" s="260">
        <f/>
        <v/>
      </c>
      <c r="F730" s="260" t="n"/>
      <c r="G730" s="260">
        <f/>
        <v/>
      </c>
      <c r="H730" s="260">
        <f/>
        <v/>
      </c>
      <c r="I730" s="260">
        <f/>
        <v/>
      </c>
      <c r="J730" s="260">
        <f/>
        <v/>
      </c>
      <c r="K730" s="260">
        <f/>
        <v/>
      </c>
      <c r="L730" s="260">
        <f/>
        <v/>
      </c>
    </row>
    <row r="731" ht="16.5" customHeight="1" s="124">
      <c r="A731" s="123">
        <f/>
        <v/>
      </c>
      <c r="B731" s="260">
        <f/>
        <v/>
      </c>
      <c r="C731" s="260">
        <f/>
        <v/>
      </c>
      <c r="D731" s="260">
        <f/>
        <v/>
      </c>
      <c r="E731" s="260">
        <f/>
        <v/>
      </c>
      <c r="F731" s="260" t="n"/>
      <c r="G731" s="260">
        <f/>
        <v/>
      </c>
      <c r="H731" s="260">
        <f/>
        <v/>
      </c>
      <c r="I731" s="260">
        <f/>
        <v/>
      </c>
      <c r="J731" s="260">
        <f/>
        <v/>
      </c>
      <c r="K731" s="260">
        <f/>
        <v/>
      </c>
      <c r="L731" s="260">
        <f/>
        <v/>
      </c>
    </row>
    <row r="732" ht="16.5" customHeight="1" s="124">
      <c r="A732" s="123">
        <f/>
        <v/>
      </c>
      <c r="B732" s="260">
        <f/>
        <v/>
      </c>
      <c r="C732" s="260">
        <f/>
        <v/>
      </c>
      <c r="D732" s="260">
        <f/>
        <v/>
      </c>
      <c r="E732" s="260">
        <f/>
        <v/>
      </c>
      <c r="F732" s="260" t="n"/>
      <c r="G732" s="260">
        <f/>
        <v/>
      </c>
      <c r="H732" s="260">
        <f/>
        <v/>
      </c>
      <c r="I732" s="260">
        <f/>
        <v/>
      </c>
      <c r="J732" s="260">
        <f/>
        <v/>
      </c>
      <c r="K732" s="260">
        <f/>
        <v/>
      </c>
      <c r="L732" s="260">
        <f/>
        <v/>
      </c>
    </row>
    <row r="733" ht="16.5" customHeight="1" s="124">
      <c r="A733" s="123">
        <f/>
        <v/>
      </c>
      <c r="B733" s="260">
        <f/>
        <v/>
      </c>
      <c r="C733" s="260">
        <f/>
        <v/>
      </c>
      <c r="D733" s="260">
        <f/>
        <v/>
      </c>
      <c r="E733" s="260">
        <f/>
        <v/>
      </c>
      <c r="F733" s="260" t="n"/>
      <c r="G733" s="260">
        <f/>
        <v/>
      </c>
      <c r="H733" s="260">
        <f/>
        <v/>
      </c>
      <c r="I733" s="260">
        <f/>
        <v/>
      </c>
      <c r="J733" s="260">
        <f/>
        <v/>
      </c>
      <c r="K733" s="260">
        <f/>
        <v/>
      </c>
      <c r="L733" s="260">
        <f/>
        <v/>
      </c>
    </row>
    <row r="734" ht="16.5" customHeight="1" s="124">
      <c r="A734" s="123">
        <f/>
        <v/>
      </c>
      <c r="B734" s="260">
        <f/>
        <v/>
      </c>
      <c r="C734" s="260">
        <f/>
        <v/>
      </c>
      <c r="D734" s="260">
        <f/>
        <v/>
      </c>
      <c r="E734" s="260">
        <f/>
        <v/>
      </c>
      <c r="F734" s="260" t="n"/>
      <c r="G734" s="260">
        <f/>
        <v/>
      </c>
      <c r="H734" s="260">
        <f/>
        <v/>
      </c>
      <c r="I734" s="260">
        <f/>
        <v/>
      </c>
      <c r="J734" s="260">
        <f/>
        <v/>
      </c>
      <c r="K734" s="260">
        <f/>
        <v/>
      </c>
      <c r="L734" s="260">
        <f/>
        <v/>
      </c>
    </row>
    <row r="735" ht="16.5" customHeight="1" s="124">
      <c r="A735" s="123">
        <f/>
        <v/>
      </c>
      <c r="B735" s="260">
        <f/>
        <v/>
      </c>
      <c r="C735" s="260">
        <f/>
        <v/>
      </c>
      <c r="D735" s="260">
        <f/>
        <v/>
      </c>
      <c r="E735" s="260">
        <f/>
        <v/>
      </c>
      <c r="F735" s="260" t="n"/>
      <c r="G735" s="260">
        <f/>
        <v/>
      </c>
      <c r="H735" s="260">
        <f/>
        <v/>
      </c>
      <c r="I735" s="260">
        <f/>
        <v/>
      </c>
      <c r="J735" s="260">
        <f/>
        <v/>
      </c>
      <c r="K735" s="260">
        <f/>
        <v/>
      </c>
      <c r="L735" s="260">
        <f/>
        <v/>
      </c>
    </row>
    <row r="736" ht="16.5" customHeight="1" s="124">
      <c r="A736" s="123">
        <f/>
        <v/>
      </c>
      <c r="B736" s="260">
        <f/>
        <v/>
      </c>
      <c r="C736" s="260">
        <f/>
        <v/>
      </c>
      <c r="D736" s="260">
        <f/>
        <v/>
      </c>
      <c r="E736" s="260">
        <f/>
        <v/>
      </c>
      <c r="F736" s="260" t="n"/>
      <c r="G736" s="260">
        <f/>
        <v/>
      </c>
      <c r="H736" s="260">
        <f/>
        <v/>
      </c>
      <c r="I736" s="260">
        <f/>
        <v/>
      </c>
      <c r="J736" s="260">
        <f/>
        <v/>
      </c>
      <c r="K736" s="260">
        <f/>
        <v/>
      </c>
      <c r="L736" s="260">
        <f/>
        <v/>
      </c>
    </row>
    <row r="737" ht="16.5" customHeight="1" s="124">
      <c r="A737" s="123">
        <f/>
        <v/>
      </c>
      <c r="C737" s="260">
        <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10"/>
  <sheetViews>
    <sheetView showFormulas="0" showGridLines="1" showRowColHeaders="1" showZeros="0" rightToLeft="0" tabSelected="0" showOutlineSymbols="1" defaultGridColor="1" view="normal" topLeftCell="A1" colorId="64" zoomScale="100" zoomScaleNormal="100" zoomScalePageLayoutView="100" workbookViewId="0">
      <selection pane="topLeft" activeCell="B6" activeCellId="0" sqref="B6"/>
    </sheetView>
  </sheetViews>
  <sheetFormatPr baseColWidth="8" defaultColWidth="8.89453125" defaultRowHeight="16.5" zeroHeight="0" outlineLevelRow="0"/>
  <cols>
    <col width="8.99" customWidth="1" style="267" min="1" max="1"/>
  </cols>
  <sheetData>
    <row r="1" ht="17.25" customHeight="1" s="124">
      <c r="A1" s="268" t="inlineStr">
        <is>
          <t>單位別</t>
        </is>
      </c>
    </row>
    <row r="2" ht="18" customHeight="1" s="124">
      <c r="A2" s="269" t="inlineStr">
        <is>
          <t xml:space="preserve">總務處 </t>
        </is>
      </c>
    </row>
    <row r="3" ht="18" customHeight="1" s="124">
      <c r="A3" s="270" t="inlineStr">
        <is>
          <t xml:space="preserve">教務處 </t>
        </is>
      </c>
    </row>
    <row r="4" ht="18" customHeight="1" s="124">
      <c r="A4" s="271" t="inlineStr">
        <is>
          <t xml:space="preserve">學務處 </t>
        </is>
      </c>
    </row>
    <row r="5" ht="18" customHeight="1" s="124">
      <c r="A5" s="270" t="inlineStr">
        <is>
          <t xml:space="preserve">輔導室 </t>
        </is>
      </c>
    </row>
    <row r="6" ht="18" customHeight="1" s="124">
      <c r="A6" s="271" t="inlineStr">
        <is>
          <t xml:space="preserve">人事室 </t>
        </is>
      </c>
    </row>
    <row r="7" ht="18" customHeight="1" s="124">
      <c r="A7" s="270" t="inlineStr">
        <is>
          <t xml:space="preserve">會計室 </t>
        </is>
      </c>
    </row>
    <row r="8" ht="18" customHeight="1" s="124">
      <c r="A8" s="271" t="inlineStr">
        <is>
          <t xml:space="preserve">出納 </t>
        </is>
      </c>
    </row>
    <row r="9" ht="18" customHeight="1" s="124">
      <c r="A9" s="270" t="inlineStr">
        <is>
          <t xml:space="preserve">午餐秘書 </t>
        </is>
      </c>
    </row>
    <row r="10" ht="18" customHeight="1" s="124">
      <c r="A10" s="271" t="inlineStr">
        <is>
          <t xml:space="preserve">幼兒園 </t>
        </is>
      </c>
    </row>
    <row r="11" ht="17.25" customHeight="1" s="124"/>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language xmlns:dc="http://purl.org/dc/elements/1.1/">zh-TW</dc:language>
  <dcterms:created xmlns:dcterms="http://purl.org/dc/terms/" xmlns:xsi="http://www.w3.org/2001/XMLSchema-instance" xsi:type="dcterms:W3CDTF">2009-08-28T21:22:18Z</dcterms:created>
  <dcterms:modified xmlns:dcterms="http://purl.org/dc/terms/" xmlns:xsi="http://www.w3.org/2001/XMLSchema-instance" xsi:type="dcterms:W3CDTF">2026-03-22T12:35:38Z</dcterms:modified>
  <cp:lastModifiedBy>資訊組長</cp:lastModifiedBy>
  <cp:revision>0</cp:revision>
  <cp:lastPrinted>2023-11-16T08:20:23Z</cp:lastPrinted>
</cp:coreProperties>
</file>